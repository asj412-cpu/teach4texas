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 Tracker" sheetId="1" state="visible" r:id="rId1"/>
    <sheet name="Student Growth" sheetId="2" state="visible" r:id="rId2"/>
    <sheet name="Professional Development" sheetId="3" state="visible" r:id="rId3"/>
    <sheet name="TIA Calculator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b val="1"/>
      <color rgb="001F4E79"/>
      <sz val="14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Observer</t>
        </is>
      </c>
      <c r="C1" s="1" t="inlineStr">
        <is>
          <t>Domain</t>
        </is>
      </c>
      <c r="D1" s="1" t="inlineStr">
        <is>
          <t>Dimension</t>
        </is>
      </c>
      <c r="E1" s="1" t="inlineStr">
        <is>
          <t>Score (1-5)</t>
        </is>
      </c>
      <c r="F1" s="1" t="inlineStr">
        <is>
          <t>Notes</t>
        </is>
      </c>
      <c r="G1" s="1" t="inlineStr">
        <is>
          <t>Evidence Summary</t>
        </is>
      </c>
    </row>
    <row r="2">
      <c r="A2" s="2" t="inlineStr">
        <is>
          <t>2025-09-15</t>
        </is>
      </c>
      <c r="B2" s="2" t="inlineStr">
        <is>
          <t>Dr. Smith (Principal)</t>
        </is>
      </c>
      <c r="C2" s="2" t="inlineStr">
        <is>
          <t>Planning</t>
        </is>
      </c>
      <c r="D2" s="2" t="inlineStr">
        <is>
          <t>1.1 - Standards Focus</t>
        </is>
      </c>
      <c r="E2" s="2" t="n">
        <v>4</v>
      </c>
      <c r="F2" s="2" t="inlineStr">
        <is>
          <t>Strong TEKS alignment</t>
        </is>
      </c>
      <c r="G2" s="2" t="inlineStr">
        <is>
          <t>Lesson plan showed vertical alignment to STAAR</t>
        </is>
      </c>
    </row>
    <row r="3">
      <c r="A3" s="3" t="inlineStr">
        <is>
          <t>2025-09-15</t>
        </is>
      </c>
      <c r="B3" s="3" t="inlineStr">
        <is>
          <t>Dr. Smith (Principal)</t>
        </is>
      </c>
      <c r="C3" s="3" t="inlineStr">
        <is>
          <t>Planning</t>
        </is>
      </c>
      <c r="D3" s="3" t="inlineStr">
        <is>
          <t>1.2 - Data &amp; Assessment</t>
        </is>
      </c>
      <c r="E3" s="3" t="n">
        <v>3</v>
      </c>
      <c r="F3" s="3" t="inlineStr">
        <is>
          <t>Room for growth in formative assessment</t>
        </is>
      </c>
      <c r="G3" s="3" t="inlineStr">
        <is>
          <t>Used exit tickets but not differentiated</t>
        </is>
      </c>
    </row>
    <row r="4">
      <c r="A4" s="2" t="inlineStr">
        <is>
          <t>2025-10-20</t>
        </is>
      </c>
      <c r="B4" s="2" t="inlineStr">
        <is>
          <t>Ms. Johnson (AP)</t>
        </is>
      </c>
      <c r="C4" s="2" t="inlineStr">
        <is>
          <t>Instruction</t>
        </is>
      </c>
      <c r="D4" s="2" t="inlineStr">
        <is>
          <t>2.1 - Achieving Expectations</t>
        </is>
      </c>
      <c r="E4" s="2" t="n">
        <v>4</v>
      </c>
      <c r="F4" s="2" t="inlineStr">
        <is>
          <t>High engagement observed</t>
        </is>
      </c>
      <c r="G4" s="2" t="inlineStr">
        <is>
          <t>95% students on task, strategic questioning</t>
        </is>
      </c>
    </row>
    <row r="5">
      <c r="A5" s="3" t="inlineStr">
        <is>
          <t>2025-10-20</t>
        </is>
      </c>
      <c r="B5" s="3" t="inlineStr">
        <is>
          <t>Ms. Johnson (AP)</t>
        </is>
      </c>
      <c r="C5" s="3" t="inlineStr">
        <is>
          <t>Instruction</t>
        </is>
      </c>
      <c r="D5" s="3" t="inlineStr">
        <is>
          <t>2.3 - Content Knowledge</t>
        </is>
      </c>
      <c r="E5" s="3" t="n">
        <v>5</v>
      </c>
      <c r="F5" s="3" t="inlineStr">
        <is>
          <t>Exemplary content delivery</t>
        </is>
      </c>
      <c r="G5" s="3" t="inlineStr">
        <is>
          <t>Cross-curricular connections, real-world examples</t>
        </is>
      </c>
    </row>
    <row r="6">
      <c r="A6" s="2" t="inlineStr">
        <is>
          <t>2025-11-18</t>
        </is>
      </c>
      <c r="B6" s="2" t="inlineStr">
        <is>
          <t>Dr. Smith (Principal)</t>
        </is>
      </c>
      <c r="C6" s="2" t="inlineStr">
        <is>
          <t>Learning Environment</t>
        </is>
      </c>
      <c r="D6" s="2" t="inlineStr">
        <is>
          <t>3.1 - Classroom Culture</t>
        </is>
      </c>
      <c r="E6" s="2" t="n">
        <v>4</v>
      </c>
      <c r="F6" s="2" t="inlineStr">
        <is>
          <t>Positive rapport with students</t>
        </is>
      </c>
      <c r="G6" s="2" t="inlineStr">
        <is>
          <t>Restorative practices evident</t>
        </is>
      </c>
    </row>
    <row r="7">
      <c r="A7" s="3" t="inlineStr">
        <is>
          <t>2025-11-18</t>
        </is>
      </c>
      <c r="B7" s="3" t="inlineStr">
        <is>
          <t>Dr. Smith (Principal)</t>
        </is>
      </c>
      <c r="C7" s="3" t="inlineStr">
        <is>
          <t>Learning Environment</t>
        </is>
      </c>
      <c r="D7" s="3" t="inlineStr">
        <is>
          <t>3.3 - Procedures</t>
        </is>
      </c>
      <c r="E7" s="3" t="n">
        <v>5</v>
      </c>
      <c r="F7" s="3" t="inlineStr">
        <is>
          <t>Seamless transitions</t>
        </is>
      </c>
      <c r="G7" s="3" t="inlineStr">
        <is>
          <t>Students self-managed materials and groups</t>
        </is>
      </c>
    </row>
    <row r="8">
      <c r="A8" s="2" t="inlineStr">
        <is>
          <t>2026-01-22</t>
        </is>
      </c>
      <c r="B8" s="2" t="inlineStr">
        <is>
          <t>Ms. Johnson (AP)</t>
        </is>
      </c>
      <c r="C8" s="2" t="inlineStr">
        <is>
          <t>Professional Practices</t>
        </is>
      </c>
      <c r="D8" s="2" t="inlineStr">
        <is>
          <t>4.1 - Professional Demeanor</t>
        </is>
      </c>
      <c r="E8" s="2" t="n">
        <v>4</v>
      </c>
      <c r="F8" s="2" t="inlineStr">
        <is>
          <t>Team leader behaviors</t>
        </is>
      </c>
      <c r="G8" s="2" t="inlineStr">
        <is>
          <t>Led PLC, mentored new teacher</t>
        </is>
      </c>
    </row>
    <row r="9">
      <c r="A9" s="3" t="inlineStr">
        <is>
          <t>2026-01-22</t>
        </is>
      </c>
      <c r="B9" s="3" t="inlineStr">
        <is>
          <t>Ms. Johnson (AP)</t>
        </is>
      </c>
      <c r="C9" s="3" t="inlineStr">
        <is>
          <t>Instruction</t>
        </is>
      </c>
      <c r="D9" s="3" t="inlineStr">
        <is>
          <t>2.2 - Content Delivery</t>
        </is>
      </c>
      <c r="E9" s="3" t="n">
        <v>4</v>
      </c>
      <c r="F9" s="3" t="inlineStr">
        <is>
          <t>Differentiated stations</t>
        </is>
      </c>
      <c r="G9" s="3" t="inlineStr">
        <is>
          <t>3 levels of scaffolded practice observed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Assessment</t>
        </is>
      </c>
      <c r="B1" s="1" t="inlineStr">
        <is>
          <t>Subject</t>
        </is>
      </c>
      <c r="C1" s="1" t="inlineStr">
        <is>
          <t>Baseline (BOY)</t>
        </is>
      </c>
      <c r="D1" s="1" t="inlineStr">
        <is>
          <t>Target</t>
        </is>
      </c>
      <c r="E1" s="1" t="inlineStr">
        <is>
          <t>Actual (EOY)</t>
        </is>
      </c>
      <c r="F1" s="1" t="inlineStr">
        <is>
          <t>Growth %</t>
        </is>
      </c>
      <c r="G1" s="1" t="inlineStr">
        <is>
          <t>Met Target?</t>
        </is>
      </c>
      <c r="H1" s="1" t="inlineStr">
        <is>
          <t>TIA Growth Level</t>
        </is>
      </c>
    </row>
    <row r="2">
      <c r="A2" s="2" t="inlineStr">
        <is>
          <t>STAAR 2025</t>
        </is>
      </c>
      <c r="B2" s="2" t="inlineStr">
        <is>
          <t>Math</t>
        </is>
      </c>
      <c r="C2" s="2" t="n">
        <v>45</v>
      </c>
      <c r="D2" s="2" t="n">
        <v>65</v>
      </c>
      <c r="E2" s="2" t="n">
        <v>72</v>
      </c>
      <c r="F2" s="4">
        <f>IF(C2=0,"",ROUND((E2-C2)/C2*100,1))</f>
        <v/>
      </c>
      <c r="G2" s="2">
        <f>IF(E2&gt;=D2,"✅ Yes","❌ No")</f>
        <v/>
      </c>
      <c r="H2" s="2">
        <f>IF(F2&gt;=40,"Top Quartile",IF(F2&gt;=25,"Above Average",IF(F2&gt;=10,"Average","Below Average")))</f>
        <v/>
      </c>
    </row>
    <row r="3">
      <c r="A3" s="3" t="inlineStr">
        <is>
          <t>STAAR 2025</t>
        </is>
      </c>
      <c r="B3" s="3" t="inlineStr">
        <is>
          <t>Reading</t>
        </is>
      </c>
      <c r="C3" s="3" t="n">
        <v>52</v>
      </c>
      <c r="D3" s="3" t="n">
        <v>68</v>
      </c>
      <c r="E3" s="3" t="n">
        <v>70</v>
      </c>
      <c r="F3" s="5">
        <f>IF(C3=0,"",ROUND((E3-C3)/C3*100,1))</f>
        <v/>
      </c>
      <c r="G3" s="3">
        <f>IF(E3&gt;=D3,"✅ Yes","❌ No")</f>
        <v/>
      </c>
      <c r="H3" s="3">
        <f>IF(F3&gt;=40,"Top Quartile",IF(F3&gt;=25,"Above Average",IF(F3&gt;=10,"Average","Below Average")))</f>
        <v/>
      </c>
    </row>
    <row r="4">
      <c r="A4" s="2" t="inlineStr">
        <is>
          <t>MAP Fall→Spring</t>
        </is>
      </c>
      <c r="B4" s="2" t="inlineStr">
        <is>
          <t>Math</t>
        </is>
      </c>
      <c r="C4" s="2" t="n">
        <v>205</v>
      </c>
      <c r="D4" s="2" t="n">
        <v>215</v>
      </c>
      <c r="E4" s="2" t="n">
        <v>220</v>
      </c>
      <c r="F4" s="4">
        <f>IF(C4=0,"",ROUND((E4-C4)/C4*100,1))</f>
        <v/>
      </c>
      <c r="G4" s="2">
        <f>IF(E4&gt;=D4,"✅ Yes","❌ No")</f>
        <v/>
      </c>
      <c r="H4" s="2">
        <f>IF(F4&gt;=40,"Top Quartile",IF(F4&gt;=25,"Above Average",IF(F4&gt;=10,"Average","Below Average")))</f>
        <v/>
      </c>
    </row>
    <row r="5">
      <c r="A5" s="3" t="inlineStr">
        <is>
          <t>MAP Fall→Spring</t>
        </is>
      </c>
      <c r="B5" s="3" t="inlineStr">
        <is>
          <t>Reading</t>
        </is>
      </c>
      <c r="C5" s="3" t="n">
        <v>198</v>
      </c>
      <c r="D5" s="3" t="n">
        <v>208</v>
      </c>
      <c r="E5" s="3" t="n">
        <v>211</v>
      </c>
      <c r="F5" s="5">
        <f>IF(C5=0,"",ROUND((E5-C5)/C5*100,1))</f>
        <v/>
      </c>
      <c r="G5" s="3">
        <f>IF(E5&gt;=D5,"✅ Yes","❌ No")</f>
        <v/>
      </c>
      <c r="H5" s="3">
        <f>IF(F5&gt;=40,"Top Quartile",IF(F5&gt;=25,"Above Average",IF(F5&gt;=10,"Average","Below Average")))</f>
        <v/>
      </c>
    </row>
    <row r="6">
      <c r="A6" s="2" t="inlineStr">
        <is>
          <t>District Benchmark Q1→Q4</t>
        </is>
      </c>
      <c r="B6" s="2" t="inlineStr">
        <is>
          <t>Math</t>
        </is>
      </c>
      <c r="C6" s="2" t="n">
        <v>55</v>
      </c>
      <c r="D6" s="2" t="n">
        <v>75</v>
      </c>
      <c r="E6" s="2" t="n">
        <v>78</v>
      </c>
      <c r="F6" s="4">
        <f>IF(C6=0,"",ROUND((E6-C6)/C6*100,1))</f>
        <v/>
      </c>
      <c r="G6" s="2">
        <f>IF(E6&gt;=D6,"✅ Yes","❌ No")</f>
        <v/>
      </c>
      <c r="H6" s="2">
        <f>IF(F6&gt;=40,"Top Quartile",IF(F6&gt;=25,"Above Average",IF(F6&gt;=10,"Average","Below Average")))</f>
        <v/>
      </c>
    </row>
    <row r="7">
      <c r="A7" s="3" t="inlineStr">
        <is>
          <t>District Benchmark Q1→Q4</t>
        </is>
      </c>
      <c r="B7" s="3" t="inlineStr">
        <is>
          <t>Reading</t>
        </is>
      </c>
      <c r="C7" s="3" t="n">
        <v>60</v>
      </c>
      <c r="D7" s="3" t="n">
        <v>78</v>
      </c>
      <c r="E7" s="3" t="n">
        <v>74</v>
      </c>
      <c r="F7" s="5">
        <f>IF(C7=0,"",ROUND((E7-C7)/C7*100,1))</f>
        <v/>
      </c>
      <c r="G7" s="3">
        <f>IF(E7&gt;=D7,"✅ Yes","❌ No")</f>
        <v/>
      </c>
      <c r="H7" s="3">
        <f>IF(F7&gt;=40,"Top Quartile",IF(F7&gt;=25,"Above Average",IF(F7&gt;=10,"Average","Below Average")))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22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Hours</t>
        </is>
      </c>
      <c r="D1" s="1" t="inlineStr">
        <is>
          <t>Domain Aligned To</t>
        </is>
      </c>
      <c r="E1" s="1" t="inlineStr">
        <is>
          <t>Certificate/Proof</t>
        </is>
      </c>
      <c r="F1" s="1" t="inlineStr">
        <is>
          <t>Notes</t>
        </is>
      </c>
    </row>
    <row r="2">
      <c r="A2" s="2" t="inlineStr">
        <is>
          <t>2025-08-05</t>
        </is>
      </c>
      <c r="B2" s="2" t="inlineStr">
        <is>
          <t>District New Teacher Academy</t>
        </is>
      </c>
      <c r="C2" s="2" t="n">
        <v>16</v>
      </c>
      <c r="D2" s="2" t="inlineStr">
        <is>
          <t>All Domains</t>
        </is>
      </c>
      <c r="E2" s="2" t="inlineStr">
        <is>
          <t>Certificate on file</t>
        </is>
      </c>
      <c r="F2" s="2" t="inlineStr">
        <is>
          <t>Required PD</t>
        </is>
      </c>
    </row>
    <row r="3">
      <c r="A3" s="3" t="inlineStr">
        <is>
          <t>2025-09-12</t>
        </is>
      </c>
      <c r="B3" s="3" t="inlineStr">
        <is>
          <t>Data-Driven Instruction Workshop</t>
        </is>
      </c>
      <c r="C3" s="3" t="n">
        <v>6</v>
      </c>
      <c r="D3" s="3" t="inlineStr">
        <is>
          <t>Planning (Domain 1)</t>
        </is>
      </c>
      <c r="E3" s="3" t="inlineStr">
        <is>
          <t>Sign-in sheet</t>
        </is>
      </c>
      <c r="F3" s="3" t="inlineStr">
        <is>
          <t>Region 4 ESC</t>
        </is>
      </c>
    </row>
    <row r="4">
      <c r="A4" s="2" t="inlineStr">
        <is>
          <t>2025-10-15</t>
        </is>
      </c>
      <c r="B4" s="2" t="inlineStr">
        <is>
          <t>Kagan Cooperative Learning</t>
        </is>
      </c>
      <c r="C4" s="2" t="n">
        <v>8</v>
      </c>
      <c r="D4" s="2" t="inlineStr">
        <is>
          <t>Instruction (Domain 2)</t>
        </is>
      </c>
      <c r="E4" s="2" t="inlineStr">
        <is>
          <t>Certificate</t>
        </is>
      </c>
      <c r="F4" s="2" t="inlineStr">
        <is>
          <t>Campus PD day</t>
        </is>
      </c>
    </row>
    <row r="5">
      <c r="A5" s="3" t="inlineStr">
        <is>
          <t>2025-11-02</t>
        </is>
      </c>
      <c r="B5" s="3" t="inlineStr">
        <is>
          <t>Restorative Practices Training</t>
        </is>
      </c>
      <c r="C5" s="3" t="n">
        <v>4</v>
      </c>
      <c r="D5" s="3" t="inlineStr">
        <is>
          <t>Learning Environment (Domain 3)</t>
        </is>
      </c>
      <c r="E5" s="3" t="inlineStr">
        <is>
          <t>Certificate</t>
        </is>
      </c>
      <c r="F5" s="3" t="inlineStr">
        <is>
          <t>Online course</t>
        </is>
      </c>
    </row>
    <row r="6">
      <c r="A6" s="2" t="inlineStr">
        <is>
          <t>2025-12-10</t>
        </is>
      </c>
      <c r="B6" s="2" t="inlineStr">
        <is>
          <t>PLC Leadership Seminar</t>
        </is>
      </c>
      <c r="C6" s="2" t="n">
        <v>3</v>
      </c>
      <c r="D6" s="2" t="inlineStr">
        <is>
          <t>Professional Practices (Domain 4)</t>
        </is>
      </c>
      <c r="E6" s="2" t="inlineStr">
        <is>
          <t>Agenda + notes</t>
        </is>
      </c>
      <c r="F6" s="2" t="inlineStr">
        <is>
          <t>District-led</t>
        </is>
      </c>
    </row>
    <row r="7">
      <c r="A7" s="3" t="inlineStr">
        <is>
          <t>2026-01-18</t>
        </is>
      </c>
      <c r="B7" s="3" t="inlineStr">
        <is>
          <t>STAAR Prep Strategies</t>
        </is>
      </c>
      <c r="C7" s="3" t="n">
        <v>6</v>
      </c>
      <c r="D7" s="3" t="inlineStr">
        <is>
          <t>Planning (Domain 1)</t>
        </is>
      </c>
      <c r="E7" s="3" t="inlineStr">
        <is>
          <t>Sign-in sheet</t>
        </is>
      </c>
      <c r="F7" s="3" t="inlineStr">
        <is>
          <t>Region 6 ESC</t>
        </is>
      </c>
    </row>
    <row r="8">
      <c r="A8" s="2" t="inlineStr">
        <is>
          <t>2026-02-08</t>
        </is>
      </c>
      <c r="B8" s="2" t="inlineStr">
        <is>
          <t>Technology Integration (Canvas LMS)</t>
        </is>
      </c>
      <c r="C8" s="2" t="n">
        <v>4</v>
      </c>
      <c r="D8" s="2" t="inlineStr">
        <is>
          <t>Instruction (Domain 2)</t>
        </is>
      </c>
      <c r="E8" s="2" t="inlineStr">
        <is>
          <t>Badge earned</t>
        </is>
      </c>
      <c r="F8" s="2" t="inlineStr">
        <is>
          <t>Self-paced</t>
        </is>
      </c>
    </row>
    <row r="10">
      <c r="B10" s="6" t="inlineStr">
        <is>
          <t>TOTAL HOURS:</t>
        </is>
      </c>
      <c r="C10" s="6">
        <f>SUM(C2:C8)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TIA DESIGNATION CALCULATOR</t>
        </is>
      </c>
    </row>
    <row r="3">
      <c r="A3" s="8" t="inlineStr">
        <is>
          <t>YOUR SCORES</t>
        </is>
      </c>
    </row>
    <row r="4">
      <c r="A4" s="9" t="inlineStr">
        <is>
          <t>Teacher Observation Average (1-5):</t>
        </is>
      </c>
      <c r="C4" s="10" t="n">
        <v>4.2</v>
      </c>
    </row>
    <row r="5">
      <c r="A5" s="9" t="inlineStr">
        <is>
          <t>Student Growth Score (0-100):</t>
        </is>
      </c>
      <c r="C5" s="10" t="n">
        <v>72</v>
      </c>
    </row>
    <row r="6">
      <c r="A6" s="9" t="inlineStr">
        <is>
          <t>Weighted Observation (70%):</t>
        </is>
      </c>
      <c r="C6">
        <f>ROUND(C4/5*100*0.7,1)</f>
        <v/>
      </c>
    </row>
    <row r="7">
      <c r="A7" s="9" t="inlineStr">
        <is>
          <t>Weighted Growth (30%):</t>
        </is>
      </c>
      <c r="C7">
        <f>ROUND(C5*0.3,1)</f>
        <v/>
      </c>
    </row>
    <row r="8">
      <c r="A8" s="8" t="inlineStr">
        <is>
          <t>COMPOSITE SCORE:</t>
        </is>
      </c>
      <c r="C8" s="11">
        <f>C6+C7</f>
        <v/>
      </c>
    </row>
    <row r="9">
      <c r="A9" s="9" t="inlineStr"/>
    </row>
    <row r="10">
      <c r="A10" s="8" t="inlineStr">
        <is>
          <t>PROJECTED DESIGNATION:</t>
        </is>
      </c>
      <c r="C10" s="12">
        <f>IF(C8&gt;=85,"🏆 MASTER",IF(C8&gt;=70,"⭐ EXEMPLARY",IF(C8&gt;=55,"✅ RECOGNIZED","Not Yet Designated")))</f>
        <v/>
      </c>
    </row>
    <row r="13">
      <c r="A13" s="8" t="inlineStr">
        <is>
          <t>DESIGNATION REFERENCE TABLE</t>
        </is>
      </c>
    </row>
    <row r="14">
      <c r="A14" s="1" t="inlineStr">
        <is>
          <t>Designation</t>
        </is>
      </c>
      <c r="B14" s="1" t="inlineStr">
        <is>
          <t>Composite Score Range</t>
        </is>
      </c>
      <c r="C14" s="1" t="inlineStr">
        <is>
          <t>Annual Stipend</t>
        </is>
      </c>
      <c r="D14" s="1" t="inlineStr">
        <is>
          <t>Example: Obs Avg</t>
        </is>
      </c>
      <c r="E14" s="1" t="inlineStr">
        <is>
          <t>Example: Growth Score</t>
        </is>
      </c>
    </row>
    <row r="15">
      <c r="A15" s="13" t="inlineStr">
        <is>
          <t>Recognized</t>
        </is>
      </c>
      <c r="B15" s="13" t="inlineStr">
        <is>
          <t>55 - 69</t>
        </is>
      </c>
      <c r="C15" s="13" t="inlineStr">
        <is>
          <t>$3,000 - $6,000</t>
        </is>
      </c>
      <c r="D15" s="13" t="inlineStr">
        <is>
          <t>3.5</t>
        </is>
      </c>
      <c r="E15" s="13" t="inlineStr">
        <is>
          <t>55</t>
        </is>
      </c>
    </row>
    <row r="16">
      <c r="A16" s="10" t="inlineStr">
        <is>
          <t>Exemplary</t>
        </is>
      </c>
      <c r="B16" s="10" t="inlineStr">
        <is>
          <t>70 - 84</t>
        </is>
      </c>
      <c r="C16" s="10" t="inlineStr">
        <is>
          <t>$6,000 - $12,000</t>
        </is>
      </c>
      <c r="D16" s="10" t="inlineStr">
        <is>
          <t>4.0</t>
        </is>
      </c>
      <c r="E16" s="10" t="inlineStr">
        <is>
          <t>70</t>
        </is>
      </c>
    </row>
    <row r="17">
      <c r="A17" s="14" t="inlineStr">
        <is>
          <t>Master</t>
        </is>
      </c>
      <c r="B17" s="14" t="inlineStr">
        <is>
          <t>85 - 100</t>
        </is>
      </c>
      <c r="C17" s="14" t="inlineStr">
        <is>
          <t>$12,000 - $32,000</t>
        </is>
      </c>
      <c r="D17" s="14" t="inlineStr">
        <is>
          <t>4.5</t>
        </is>
      </c>
      <c r="E17" s="14" t="inlineStr">
        <is>
          <t>85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📋 TIA Portfolio Builder — Instructions</t>
        </is>
      </c>
    </row>
    <row r="2">
      <c r="A2" s="16" t="inlineStr"/>
    </row>
    <row r="3">
      <c r="A3" s="15" t="inlineStr">
        <is>
          <t>WHAT IS TIA?</t>
        </is>
      </c>
    </row>
    <row r="4">
      <c r="A4" s="16" t="inlineStr">
        <is>
          <t>The Teacher Incentive Allotment (TIA) is a Texas program that rewards effective teachers</t>
        </is>
      </c>
    </row>
    <row r="5">
      <c r="A5" s="16" t="inlineStr">
        <is>
          <t>with annual stipends of $3,000 to $32,000+ based on their designation level.</t>
        </is>
      </c>
    </row>
    <row r="6">
      <c r="A6" s="16" t="inlineStr">
        <is>
          <t>Designations: Recognized → Exemplary → Master</t>
        </is>
      </c>
    </row>
    <row r="7">
      <c r="A7" s="16" t="inlineStr">
        <is>
          <t>TIA scores are based on Teacher Observation (70%) + Student Growth (30%)</t>
        </is>
      </c>
    </row>
    <row r="8">
      <c r="A8" s="16" t="inlineStr"/>
    </row>
    <row r="9">
      <c r="A9" s="15" t="inlineStr">
        <is>
          <t>HOW THIS TRACKER HELPS</t>
        </is>
      </c>
    </row>
    <row r="10">
      <c r="A10" s="16" t="inlineStr">
        <is>
          <t>• Observation Tracker: Log every formal/informal observation with scores and evidence</t>
        </is>
      </c>
    </row>
    <row r="11">
      <c r="A11" s="16" t="inlineStr">
        <is>
          <t>• Student Growth: Track assessment data that feeds into your TIA growth score</t>
        </is>
      </c>
    </row>
    <row r="12">
      <c r="A12" s="16" t="inlineStr">
        <is>
          <t>• Professional Development: Document PD hours aligned to T-TESS domains</t>
        </is>
      </c>
    </row>
    <row r="13">
      <c r="A13" s="16" t="inlineStr">
        <is>
          <t>• TIA Calculator: Input your scores to see your projected designation</t>
        </is>
      </c>
    </row>
    <row r="14">
      <c r="A14" s="16" t="inlineStr"/>
    </row>
    <row r="15">
      <c r="A15" s="15" t="inlineStr">
        <is>
          <t>OBSERVATION TRACKER TAB</t>
        </is>
      </c>
    </row>
    <row r="16">
      <c r="A16" s="16" t="inlineStr">
        <is>
          <t>• Log every observation immediately — don't wait until end of year</t>
        </is>
      </c>
    </row>
    <row r="17">
      <c r="A17" s="16" t="inlineStr">
        <is>
          <t>• Include specific evidence (student work samples, lesson artifacts)</t>
        </is>
      </c>
    </row>
    <row r="18">
      <c r="A18" s="16" t="inlineStr">
        <is>
          <t>• Note which T-TESS dimension each observation addresses</t>
        </is>
      </c>
    </row>
    <row r="19">
      <c r="A19" s="16" t="inlineStr">
        <is>
          <t>• Scores: 1=Improvement Needed, 2=Developing, 3=Proficient, 4=Accomplished, 5=Distinguished</t>
        </is>
      </c>
    </row>
    <row r="20">
      <c r="A20" s="16" t="inlineStr"/>
    </row>
    <row r="21">
      <c r="A21" s="15" t="inlineStr">
        <is>
          <t>STUDENT GROWTH TAB</t>
        </is>
      </c>
    </row>
    <row r="22">
      <c r="A22" s="16" t="inlineStr">
        <is>
          <t>• Enter baseline (BOY) and target scores for each assessment</t>
        </is>
      </c>
    </row>
    <row r="23">
      <c r="A23" s="16" t="inlineStr">
        <is>
          <t>• Update actual scores as results come in</t>
        </is>
      </c>
    </row>
    <row r="24">
      <c r="A24" s="16" t="inlineStr">
        <is>
          <t>• Growth % and target status auto-calculate</t>
        </is>
      </c>
    </row>
    <row r="25">
      <c r="A25" s="16" t="inlineStr">
        <is>
          <t>• Top Quartile growth = strongest TIA evidence</t>
        </is>
      </c>
    </row>
    <row r="26">
      <c r="A26" s="16" t="inlineStr"/>
    </row>
    <row r="27">
      <c r="A27" s="15" t="inlineStr">
        <is>
          <t>TIA CALCULATOR TAB</t>
        </is>
      </c>
    </row>
    <row r="28">
      <c r="A28" s="16" t="inlineStr">
        <is>
          <t>• Yellow cells = your inputs (observation avg and growth score)</t>
        </is>
      </c>
    </row>
    <row r="29">
      <c r="A29" s="16" t="inlineStr">
        <is>
          <t>• Everything else calculates automatically</t>
        </is>
      </c>
    </row>
    <row r="30">
      <c r="A30" s="16" t="inlineStr">
        <is>
          <t>• Reference table shows what each designation level looks like</t>
        </is>
      </c>
    </row>
    <row r="31">
      <c r="A31" s="16" t="inlineStr">
        <is>
          <t>• Use this to set goals: 'I need a 4.2 observation avg and 70 growth to hit Exemplary'</t>
        </is>
      </c>
    </row>
    <row r="32">
      <c r="A32" s="16" t="inlineStr"/>
    </row>
    <row r="33">
      <c r="A33" s="15" t="inlineStr">
        <is>
          <t>TIPS FOR BUILDING YOUR PORTFOLIO</t>
        </is>
      </c>
    </row>
    <row r="34">
      <c r="A34" s="16" t="inlineStr">
        <is>
          <t>• Start documenting NOW — don't wait until TIA application opens</t>
        </is>
      </c>
    </row>
    <row r="35">
      <c r="A35" s="16" t="inlineStr">
        <is>
          <t>• Take photos of anchor charts, student work, and classroom setup</t>
        </is>
      </c>
    </row>
    <row r="36">
      <c r="A36" s="16" t="inlineStr">
        <is>
          <t>• Save emails from parents praising your teaching</t>
        </is>
      </c>
    </row>
    <row r="37">
      <c r="A37" s="16" t="inlineStr">
        <is>
          <t>• Keep PD certificates in a Google Drive folder</t>
        </is>
      </c>
    </row>
    <row r="38">
      <c r="A38" s="16" t="inlineStr">
        <is>
          <t>• Ask your appraiser for specific feedback on each dimension</t>
        </is>
      </c>
    </row>
    <row r="39">
      <c r="A39" s="16" t="inlineStr"/>
    </row>
    <row r="40">
      <c r="A40" s="16" t="inlineStr">
        <is>
          <t>© teach4texas | For personal classroom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2026-02-19T01:02:46Z</dcterms:created>
  <dcterms:modified xsi:type="dcterms:W3CDTF">2026-02-19T01:02:46Z</dcterms:modified>
</cp:coreProperties>
</file>