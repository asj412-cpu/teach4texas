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oster" sheetId="1" state="visible" r:id="rId1"/>
    <sheet name="Class Overview" sheetId="2" state="visible" r:id="rId2"/>
    <sheet name="Weekly Planning" sheetId="3" state="visible" r:id="rId3"/>
    <sheet name="Instructions" sheetId="4" state="visible" r:id="rId4"/>
  </sheets>
  <definedNames>
    <definedName name="_xlnm._FilterDatabase" localSheetId="0" hidden="1">'Student Roster'!$A$1:$I$26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1F4E79"/>
      <sz val="16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0" fontId="2" fillId="0" borderId="0" pivotButton="0" quotePrefix="0" xfId="0"/>
    <xf numFmtId="165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165" fontId="0" fillId="3" borderId="1" applyAlignment="1" pivotButton="0" quotePrefix="0" xfId="0">
      <alignment vertical="center" wrapText="1"/>
    </xf>
    <xf numFmtId="9" fontId="0" fillId="3" borderId="1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28" customWidth="1" min="9" max="9"/>
  </cols>
  <sheetData>
    <row r="1">
      <c r="A1" s="1" t="inlineStr">
        <is>
          <t>Student Name</t>
        </is>
      </c>
      <c r="B1" s="1" t="inlineStr">
        <is>
          <t>Grade</t>
        </is>
      </c>
      <c r="C1" s="1" t="inlineStr">
        <is>
          <t>Subject</t>
        </is>
      </c>
      <c r="D1" s="1" t="inlineStr">
        <is>
          <t>Pre-Test Score</t>
        </is>
      </c>
      <c r="E1" s="1" t="inlineStr">
        <is>
          <t>Post-Test Score</t>
        </is>
      </c>
      <c r="F1" s="1" t="inlineStr">
        <is>
          <t>Growth %</t>
        </is>
      </c>
      <c r="G1" s="1" t="inlineStr">
        <is>
          <t>Meets Prediction</t>
        </is>
      </c>
      <c r="H1" s="1" t="inlineStr">
        <is>
          <t>Masters Prediction</t>
        </is>
      </c>
      <c r="I1" s="1" t="inlineStr">
        <is>
          <t>Notes</t>
        </is>
      </c>
    </row>
    <row r="2">
      <c r="A2" s="2" t="inlineStr">
        <is>
          <t>Maria, Garcia</t>
        </is>
      </c>
      <c r="B2" s="2" t="n">
        <v>8</v>
      </c>
      <c r="C2" s="2" t="inlineStr">
        <is>
          <t>Math</t>
        </is>
      </c>
      <c r="D2" s="2" t="n">
        <v>37</v>
      </c>
      <c r="E2" s="2" t="n">
        <v>42</v>
      </c>
      <c r="F2" s="3">
        <f>IF(D2=0,"",ROUND((E2-D2)/D2*100,1))</f>
        <v/>
      </c>
      <c r="G2" s="2">
        <f>IF(E2&gt;=50,"Likely Meets","At Risk")</f>
        <v/>
      </c>
      <c r="H2" s="2">
        <f>IF(E2&gt;=75,"Likely Masters",IF(E2&gt;=60,"Possible","Unlikely"))</f>
        <v/>
      </c>
      <c r="I2" s="2" t="inlineStr">
        <is>
          <t>504 plan</t>
        </is>
      </c>
    </row>
    <row r="3">
      <c r="A3" s="4" t="inlineStr">
        <is>
          <t>Jose, Rodriguez</t>
        </is>
      </c>
      <c r="B3" s="4" t="n">
        <v>4</v>
      </c>
      <c r="C3" s="4" t="inlineStr">
        <is>
          <t>Reading</t>
        </is>
      </c>
      <c r="D3" s="4" t="n">
        <v>44</v>
      </c>
      <c r="E3" s="4" t="n">
        <v>53</v>
      </c>
      <c r="F3" s="5">
        <f>IF(D3=0,"",ROUND((E3-D3)/D3*100,1))</f>
        <v/>
      </c>
      <c r="G3" s="4">
        <f>IF(E3&gt;=50,"Likely Meets","At Risk")</f>
        <v/>
      </c>
      <c r="H3" s="4">
        <f>IF(E3&gt;=75,"Likely Masters",IF(E3&gt;=60,"Possible","Unlikely"))</f>
        <v/>
      </c>
      <c r="I3" s="4" t="inlineStr">
        <is>
          <t>Needs reteach on fractions</t>
        </is>
      </c>
    </row>
    <row r="4">
      <c r="A4" s="2" t="inlineStr">
        <is>
          <t>Emily, Martinez</t>
        </is>
      </c>
      <c r="B4" s="2" t="n">
        <v>8</v>
      </c>
      <c r="C4" s="2" t="inlineStr">
        <is>
          <t>Science</t>
        </is>
      </c>
      <c r="D4" s="2" t="n">
        <v>64</v>
      </c>
      <c r="E4" s="2" t="n">
        <v>71</v>
      </c>
      <c r="F4" s="3">
        <f>IF(D4=0,"",ROUND((E4-D4)/D4*100,1))</f>
        <v/>
      </c>
      <c r="G4" s="2">
        <f>IF(E4&gt;=50,"Likely Meets","At Risk")</f>
        <v/>
      </c>
      <c r="H4" s="2">
        <f>IF(E4&gt;=75,"Likely Masters",IF(E4&gt;=60,"Possible","Unlikely"))</f>
        <v/>
      </c>
      <c r="I4" s="2" t="inlineStr"/>
    </row>
    <row r="5">
      <c r="A5" s="4" t="inlineStr">
        <is>
          <t>David, Hernandez</t>
        </is>
      </c>
      <c r="B5" s="4" t="n">
        <v>6</v>
      </c>
      <c r="C5" s="4" t="inlineStr">
        <is>
          <t>Social Studies</t>
        </is>
      </c>
      <c r="D5" s="4" t="n">
        <v>32</v>
      </c>
      <c r="E5" s="4" t="n">
        <v>37</v>
      </c>
      <c r="F5" s="5">
        <f>IF(D5=0,"",ROUND((E5-D5)/D5*100,1))</f>
        <v/>
      </c>
      <c r="G5" s="4">
        <f>IF(E5&gt;=50,"Likely Meets","At Risk")</f>
        <v/>
      </c>
      <c r="H5" s="4">
        <f>IF(E5&gt;=75,"Likely Masters",IF(E5&gt;=60,"Possible","Unlikely"))</f>
        <v/>
      </c>
      <c r="I5" s="4" t="inlineStr">
        <is>
          <t>Needs reteach on fractions</t>
        </is>
      </c>
    </row>
    <row r="6">
      <c r="A6" s="2" t="inlineStr">
        <is>
          <t>Sofia, Lopez</t>
        </is>
      </c>
      <c r="B6" s="2" t="n">
        <v>4</v>
      </c>
      <c r="C6" s="2" t="inlineStr">
        <is>
          <t>Math</t>
        </is>
      </c>
      <c r="D6" s="2" t="n">
        <v>44</v>
      </c>
      <c r="E6" s="2" t="n">
        <v>65</v>
      </c>
      <c r="F6" s="3">
        <f>IF(D6=0,"",ROUND((E6-D6)/D6*100,1))</f>
        <v/>
      </c>
      <c r="G6" s="2">
        <f>IF(E6&gt;=50,"Likely Meets","At Risk")</f>
        <v/>
      </c>
      <c r="H6" s="2">
        <f>IF(E6&gt;=75,"Likely Masters",IF(E6&gt;=60,"Possible","Unlikely"))</f>
        <v/>
      </c>
      <c r="I6" s="2" t="inlineStr"/>
    </row>
    <row r="7">
      <c r="A7" s="4" t="inlineStr">
        <is>
          <t>Carlos, Gonzalez</t>
        </is>
      </c>
      <c r="B7" s="4" t="n">
        <v>3</v>
      </c>
      <c r="C7" s="4" t="inlineStr">
        <is>
          <t>Reading</t>
        </is>
      </c>
      <c r="D7" s="4" t="n">
        <v>65</v>
      </c>
      <c r="E7" s="4" t="n">
        <v>76</v>
      </c>
      <c r="F7" s="5">
        <f>IF(D7=0,"",ROUND((E7-D7)/D7*100,1))</f>
        <v/>
      </c>
      <c r="G7" s="4">
        <f>IF(E7&gt;=50,"Likely Meets","At Risk")</f>
        <v/>
      </c>
      <c r="H7" s="4">
        <f>IF(E7&gt;=75,"Likely Masters",IF(E7&gt;=60,"Possible","Unlikely"))</f>
        <v/>
      </c>
      <c r="I7" s="4" t="inlineStr"/>
    </row>
    <row r="8">
      <c r="A8" s="2" t="inlineStr">
        <is>
          <t>Aiden, Wilson</t>
        </is>
      </c>
      <c r="B8" s="2" t="n">
        <v>6</v>
      </c>
      <c r="C8" s="2" t="inlineStr">
        <is>
          <t>Science</t>
        </is>
      </c>
      <c r="D8" s="2" t="n">
        <v>44</v>
      </c>
      <c r="E8" s="2" t="n">
        <v>63</v>
      </c>
      <c r="F8" s="3">
        <f>IF(D8=0,"",ROUND((E8-D8)/D8*100,1))</f>
        <v/>
      </c>
      <c r="G8" s="2">
        <f>IF(E8&gt;=50,"Likely Meets","At Risk")</f>
        <v/>
      </c>
      <c r="H8" s="2">
        <f>IF(E8&gt;=75,"Likely Masters",IF(E8&gt;=60,"Possible","Unlikely"))</f>
        <v/>
      </c>
      <c r="I8" s="2" t="inlineStr"/>
    </row>
    <row r="9">
      <c r="A9" s="4" t="inlineStr">
        <is>
          <t>Mia, Anderson</t>
        </is>
      </c>
      <c r="B9" s="4" t="n">
        <v>5</v>
      </c>
      <c r="C9" s="4" t="inlineStr">
        <is>
          <t>Social Studies</t>
        </is>
      </c>
      <c r="D9" s="4" t="n">
        <v>30</v>
      </c>
      <c r="E9" s="4" t="n">
        <v>59</v>
      </c>
      <c r="F9" s="5">
        <f>IF(D9=0,"",ROUND((E9-D9)/D9*100,1))</f>
        <v/>
      </c>
      <c r="G9" s="4">
        <f>IF(E9&gt;=50,"Likely Meets","At Risk")</f>
        <v/>
      </c>
      <c r="H9" s="4">
        <f>IF(E9&gt;=75,"Likely Masters",IF(E9&gt;=60,"Possible","Unlikely"))</f>
        <v/>
      </c>
      <c r="I9" s="4" t="inlineStr">
        <is>
          <t>ESL accommodation</t>
        </is>
      </c>
    </row>
    <row r="10">
      <c r="A10" s="2" t="inlineStr">
        <is>
          <t>Jayden, Thomas</t>
        </is>
      </c>
      <c r="B10" s="2" t="n">
        <v>8</v>
      </c>
      <c r="C10" s="2" t="inlineStr">
        <is>
          <t>Math</t>
        </is>
      </c>
      <c r="D10" s="2" t="n">
        <v>57</v>
      </c>
      <c r="E10" s="2" t="n">
        <v>72</v>
      </c>
      <c r="F10" s="3">
        <f>IF(D10=0,"",ROUND((E10-D10)/D10*100,1))</f>
        <v/>
      </c>
      <c r="G10" s="2">
        <f>IF(E10&gt;=50,"Likely Meets","At Risk")</f>
        <v/>
      </c>
      <c r="H10" s="2">
        <f>IF(E10&gt;=75,"Likely Masters",IF(E10&gt;=60,"Possible","Unlikely"))</f>
        <v/>
      </c>
      <c r="I10" s="2" t="inlineStr">
        <is>
          <t>504 plan</t>
        </is>
      </c>
    </row>
    <row r="11">
      <c r="A11" s="4" t="inlineStr">
        <is>
          <t>Isabella, Jackson</t>
        </is>
      </c>
      <c r="B11" s="4" t="n">
        <v>4</v>
      </c>
      <c r="C11" s="4" t="inlineStr">
        <is>
          <t>Reading</t>
        </is>
      </c>
      <c r="D11" s="4" t="n">
        <v>43</v>
      </c>
      <c r="E11" s="4" t="n">
        <v>72</v>
      </c>
      <c r="F11" s="5">
        <f>IF(D11=0,"",ROUND((E11-D11)/D11*100,1))</f>
        <v/>
      </c>
      <c r="G11" s="4">
        <f>IF(E11&gt;=50,"Likely Meets","At Risk")</f>
        <v/>
      </c>
      <c r="H11" s="4">
        <f>IF(E11&gt;=75,"Likely Masters",IF(E11&gt;=60,"Possible","Unlikely"))</f>
        <v/>
      </c>
      <c r="I11" s="4" t="inlineStr">
        <is>
          <t>Consistent effort</t>
        </is>
      </c>
    </row>
    <row r="12">
      <c r="A12" s="2" t="inlineStr">
        <is>
          <t>Ethan, White</t>
        </is>
      </c>
      <c r="B12" s="2" t="n">
        <v>3</v>
      </c>
      <c r="C12" s="2" t="inlineStr">
        <is>
          <t>Science</t>
        </is>
      </c>
      <c r="D12" s="2" t="n">
        <v>35</v>
      </c>
      <c r="E12" s="2" t="n">
        <v>52</v>
      </c>
      <c r="F12" s="3">
        <f>IF(D12=0,"",ROUND((E12-D12)/D12*100,1))</f>
        <v/>
      </c>
      <c r="G12" s="2">
        <f>IF(E12&gt;=50,"Likely Meets","At Risk")</f>
        <v/>
      </c>
      <c r="H12" s="2">
        <f>IF(E12&gt;=75,"Likely Masters",IF(E12&gt;=60,"Possible","Unlikely"))</f>
        <v/>
      </c>
      <c r="I12" s="2" t="inlineStr">
        <is>
          <t>Needs reteach on fractions</t>
        </is>
      </c>
    </row>
    <row r="13">
      <c r="A13" s="4" t="inlineStr">
        <is>
          <t>Olivia, Harris</t>
        </is>
      </c>
      <c r="B13" s="4" t="n">
        <v>5</v>
      </c>
      <c r="C13" s="4" t="inlineStr">
        <is>
          <t>Social Studies</t>
        </is>
      </c>
      <c r="D13" s="4" t="n">
        <v>52</v>
      </c>
      <c r="E13" s="4" t="n">
        <v>76</v>
      </c>
      <c r="F13" s="5">
        <f>IF(D13=0,"",ROUND((E13-D13)/D13*100,1))</f>
        <v/>
      </c>
      <c r="G13" s="4">
        <f>IF(E13&gt;=50,"Likely Meets","At Risk")</f>
        <v/>
      </c>
      <c r="H13" s="4">
        <f>IF(E13&gt;=75,"Likely Masters",IF(E13&gt;=60,"Possible","Unlikely"))</f>
        <v/>
      </c>
      <c r="I13" s="4" t="inlineStr">
        <is>
          <t>504 plan</t>
        </is>
      </c>
    </row>
    <row r="14">
      <c r="A14" s="2" t="inlineStr">
        <is>
          <t>Liam, Martin</t>
        </is>
      </c>
      <c r="B14" s="2" t="n">
        <v>3</v>
      </c>
      <c r="C14" s="2" t="inlineStr">
        <is>
          <t>Math</t>
        </is>
      </c>
      <c r="D14" s="2" t="n">
        <v>59</v>
      </c>
      <c r="E14" s="2" t="n">
        <v>81</v>
      </c>
      <c r="F14" s="3">
        <f>IF(D14=0,"",ROUND((E14-D14)/D14*100,1))</f>
        <v/>
      </c>
      <c r="G14" s="2">
        <f>IF(E14&gt;=50,"Likely Meets","At Risk")</f>
        <v/>
      </c>
      <c r="H14" s="2">
        <f>IF(E14&gt;=75,"Likely Masters",IF(E14&gt;=60,"Possible","Unlikely"))</f>
        <v/>
      </c>
      <c r="I14" s="2" t="inlineStr">
        <is>
          <t>Needs reteach on fractions</t>
        </is>
      </c>
    </row>
    <row r="15">
      <c r="A15" s="4" t="inlineStr">
        <is>
          <t>Ava, Thompson</t>
        </is>
      </c>
      <c r="B15" s="4" t="n">
        <v>6</v>
      </c>
      <c r="C15" s="4" t="inlineStr">
        <is>
          <t>Reading</t>
        </is>
      </c>
      <c r="D15" s="4" t="n">
        <v>35</v>
      </c>
      <c r="E15" s="4" t="n">
        <v>57</v>
      </c>
      <c r="F15" s="5">
        <f>IF(D15=0,"",ROUND((E15-D15)/D15*100,1))</f>
        <v/>
      </c>
      <c r="G15" s="4">
        <f>IF(E15&gt;=50,"Likely Meets","At Risk")</f>
        <v/>
      </c>
      <c r="H15" s="4">
        <f>IF(E15&gt;=75,"Likely Masters",IF(E15&gt;=60,"Possible","Unlikely"))</f>
        <v/>
      </c>
      <c r="I15" s="4" t="inlineStr">
        <is>
          <t>504 plan</t>
        </is>
      </c>
    </row>
    <row r="16">
      <c r="A16" s="2" t="inlineStr">
        <is>
          <t>Noah, Moore</t>
        </is>
      </c>
      <c r="B16" s="2" t="n">
        <v>8</v>
      </c>
      <c r="C16" s="2" t="inlineStr">
        <is>
          <t>Science</t>
        </is>
      </c>
      <c r="D16" s="2" t="n">
        <v>69</v>
      </c>
      <c r="E16" s="2" t="n">
        <v>85</v>
      </c>
      <c r="F16" s="3">
        <f>IF(D16=0,"",ROUND((E16-D16)/D16*100,1))</f>
        <v/>
      </c>
      <c r="G16" s="2">
        <f>IF(E16&gt;=50,"Likely Meets","At Risk")</f>
        <v/>
      </c>
      <c r="H16" s="2">
        <f>IF(E16&gt;=75,"Likely Masters",IF(E16&gt;=60,"Possible","Unlikely"))</f>
        <v/>
      </c>
      <c r="I16" s="2" t="inlineStr"/>
    </row>
    <row r="17">
      <c r="A17" s="4" t="inlineStr">
        <is>
          <t>Emma, Taylor</t>
        </is>
      </c>
      <c r="B17" s="4" t="n">
        <v>4</v>
      </c>
      <c r="C17" s="4" t="inlineStr">
        <is>
          <t>Social Studies</t>
        </is>
      </c>
      <c r="D17" s="4" t="n">
        <v>75</v>
      </c>
      <c r="E17" s="4" t="n">
        <v>82</v>
      </c>
      <c r="F17" s="5">
        <f>IF(D17=0,"",ROUND((E17-D17)/D17*100,1))</f>
        <v/>
      </c>
      <c r="G17" s="4">
        <f>IF(E17&gt;=50,"Likely Meets","At Risk")</f>
        <v/>
      </c>
      <c r="H17" s="4">
        <f>IF(E17&gt;=75,"Likely Masters",IF(E17&gt;=60,"Possible","Unlikely"))</f>
        <v/>
      </c>
      <c r="I17" s="4" t="inlineStr">
        <is>
          <t>Strong improvement</t>
        </is>
      </c>
    </row>
    <row r="18">
      <c r="A18" s="2" t="inlineStr">
        <is>
          <t>Lucas, Brown</t>
        </is>
      </c>
      <c r="B18" s="2" t="n">
        <v>8</v>
      </c>
      <c r="C18" s="2" t="inlineStr">
        <is>
          <t>Math</t>
        </is>
      </c>
      <c r="D18" s="2" t="n">
        <v>44</v>
      </c>
      <c r="E18" s="2" t="n">
        <v>73</v>
      </c>
      <c r="F18" s="3">
        <f>IF(D18=0,"",ROUND((E18-D18)/D18*100,1))</f>
        <v/>
      </c>
      <c r="G18" s="2">
        <f>IF(E18&gt;=50,"Likely Meets","At Risk")</f>
        <v/>
      </c>
      <c r="H18" s="2">
        <f>IF(E18&gt;=75,"Likely Masters",IF(E18&gt;=60,"Possible","Unlikely"))</f>
        <v/>
      </c>
      <c r="I18" s="2" t="inlineStr">
        <is>
          <t>504 plan</t>
        </is>
      </c>
    </row>
    <row r="19">
      <c r="A19" s="4" t="inlineStr">
        <is>
          <t>Camila, Davis</t>
        </is>
      </c>
      <c r="B19" s="4" t="n">
        <v>3</v>
      </c>
      <c r="C19" s="4" t="inlineStr">
        <is>
          <t>Reading</t>
        </is>
      </c>
      <c r="D19" s="4" t="n">
        <v>44</v>
      </c>
      <c r="E19" s="4" t="n">
        <v>52</v>
      </c>
      <c r="F19" s="5">
        <f>IF(D19=0,"",ROUND((E19-D19)/D19*100,1))</f>
        <v/>
      </c>
      <c r="G19" s="4">
        <f>IF(E19&gt;=50,"Likely Meets","At Risk")</f>
        <v/>
      </c>
      <c r="H19" s="4">
        <f>IF(E19&gt;=75,"Likely Masters",IF(E19&gt;=60,"Possible","Unlikely"))</f>
        <v/>
      </c>
      <c r="I19" s="4" t="inlineStr">
        <is>
          <t>Tutoring recommended</t>
        </is>
      </c>
    </row>
    <row r="20">
      <c r="A20" s="2" t="inlineStr">
        <is>
          <t>Mason, Miller</t>
        </is>
      </c>
      <c r="B20" s="2" t="n">
        <v>5</v>
      </c>
      <c r="C20" s="2" t="inlineStr">
        <is>
          <t>Science</t>
        </is>
      </c>
      <c r="D20" s="2" t="n">
        <v>59</v>
      </c>
      <c r="E20" s="2" t="n">
        <v>84</v>
      </c>
      <c r="F20" s="3">
        <f>IF(D20=0,"",ROUND((E20-D20)/D20*100,1))</f>
        <v/>
      </c>
      <c r="G20" s="2">
        <f>IF(E20&gt;=50,"Likely Meets","At Risk")</f>
        <v/>
      </c>
      <c r="H20" s="2">
        <f>IF(E20&gt;=75,"Likely Masters",IF(E20&gt;=60,"Possible","Unlikely"))</f>
        <v/>
      </c>
      <c r="I20" s="2" t="inlineStr">
        <is>
          <t>Consistent effort</t>
        </is>
      </c>
    </row>
    <row r="21">
      <c r="A21" s="4" t="inlineStr">
        <is>
          <t>Luna, Johnson</t>
        </is>
      </c>
      <c r="B21" s="4" t="n">
        <v>4</v>
      </c>
      <c r="C21" s="4" t="inlineStr">
        <is>
          <t>Social Studies</t>
        </is>
      </c>
      <c r="D21" s="4" t="n">
        <v>53</v>
      </c>
      <c r="E21" s="4" t="n">
        <v>69</v>
      </c>
      <c r="F21" s="5">
        <f>IF(D21=0,"",ROUND((E21-D21)/D21*100,1))</f>
        <v/>
      </c>
      <c r="G21" s="4">
        <f>IF(E21&gt;=50,"Likely Meets","At Risk")</f>
        <v/>
      </c>
      <c r="H21" s="4">
        <f>IF(E21&gt;=75,"Likely Masters",IF(E21&gt;=60,"Possible","Unlikely"))</f>
        <v/>
      </c>
      <c r="I21" s="4" t="inlineStr">
        <is>
          <t>GT student</t>
        </is>
      </c>
    </row>
    <row r="22">
      <c r="A22" s="2" t="inlineStr">
        <is>
          <t>Diego, Reyes</t>
        </is>
      </c>
      <c r="B22" s="2" t="n">
        <v>8</v>
      </c>
      <c r="C22" s="2" t="inlineStr">
        <is>
          <t>Math</t>
        </is>
      </c>
      <c r="D22" s="2" t="n">
        <v>47</v>
      </c>
      <c r="E22" s="2" t="n">
        <v>74</v>
      </c>
      <c r="F22" s="3">
        <f>IF(D22=0,"",ROUND((E22-D22)/D22*100,1))</f>
        <v/>
      </c>
      <c r="G22" s="2">
        <f>IF(E22&gt;=50,"Likely Meets","At Risk")</f>
        <v/>
      </c>
      <c r="H22" s="2">
        <f>IF(E22&gt;=75,"Likely Masters",IF(E22&gt;=60,"Possible","Unlikely"))</f>
        <v/>
      </c>
      <c r="I22" s="2" t="inlineStr">
        <is>
          <t>Needs reteach on fractions</t>
        </is>
      </c>
    </row>
    <row r="23">
      <c r="A23" s="4" t="inlineStr">
        <is>
          <t>Valentina, Cruz</t>
        </is>
      </c>
      <c r="B23" s="4" t="n">
        <v>7</v>
      </c>
      <c r="C23" s="4" t="inlineStr">
        <is>
          <t>Reading</t>
        </is>
      </c>
      <c r="D23" s="4" t="n">
        <v>70</v>
      </c>
      <c r="E23" s="4" t="n">
        <v>80</v>
      </c>
      <c r="F23" s="5">
        <f>IF(D23=0,"",ROUND((E23-D23)/D23*100,1))</f>
        <v/>
      </c>
      <c r="G23" s="4">
        <f>IF(E23&gt;=50,"Likely Meets","At Risk")</f>
        <v/>
      </c>
      <c r="H23" s="4">
        <f>IF(E23&gt;=75,"Likely Masters",IF(E23&gt;=60,"Possible","Unlikely"))</f>
        <v/>
      </c>
      <c r="I23" s="4" t="inlineStr"/>
    </row>
    <row r="24">
      <c r="A24" s="2" t="inlineStr">
        <is>
          <t>Elijah, Morales</t>
        </is>
      </c>
      <c r="B24" s="2" t="n">
        <v>8</v>
      </c>
      <c r="C24" s="2" t="inlineStr">
        <is>
          <t>Science</t>
        </is>
      </c>
      <c r="D24" s="2" t="n">
        <v>45</v>
      </c>
      <c r="E24" s="2" t="n">
        <v>55</v>
      </c>
      <c r="F24" s="3">
        <f>IF(D24=0,"",ROUND((E24-D24)/D24*100,1))</f>
        <v/>
      </c>
      <c r="G24" s="2">
        <f>IF(E24&gt;=50,"Likely Meets","At Risk")</f>
        <v/>
      </c>
      <c r="H24" s="2">
        <f>IF(E24&gt;=75,"Likely Masters",IF(E24&gt;=60,"Possible","Unlikely"))</f>
        <v/>
      </c>
      <c r="I24" s="2" t="inlineStr">
        <is>
          <t>Parent conference scheduled</t>
        </is>
      </c>
    </row>
    <row r="25">
      <c r="A25" s="4" t="inlineStr">
        <is>
          <t>Ariana, Ortiz</t>
        </is>
      </c>
      <c r="B25" s="4" t="n">
        <v>6</v>
      </c>
      <c r="C25" s="4" t="inlineStr">
        <is>
          <t>Social Studies</t>
        </is>
      </c>
      <c r="D25" s="4" t="n">
        <v>47</v>
      </c>
      <c r="E25" s="4" t="n">
        <v>72</v>
      </c>
      <c r="F25" s="5">
        <f>IF(D25=0,"",ROUND((E25-D25)/D25*100,1))</f>
        <v/>
      </c>
      <c r="G25" s="4">
        <f>IF(E25&gt;=50,"Likely Meets","At Risk")</f>
        <v/>
      </c>
      <c r="H25" s="4">
        <f>IF(E25&gt;=75,"Likely Masters",IF(E25&gt;=60,"Possible","Unlikely"))</f>
        <v/>
      </c>
      <c r="I25" s="4" t="inlineStr"/>
    </row>
    <row r="26">
      <c r="A26" s="2" t="inlineStr">
        <is>
          <t>Mateo, Gutierrez</t>
        </is>
      </c>
      <c r="B26" s="2" t="n">
        <v>4</v>
      </c>
      <c r="C26" s="2" t="inlineStr">
        <is>
          <t>Math</t>
        </is>
      </c>
      <c r="D26" s="2" t="n">
        <v>73</v>
      </c>
      <c r="E26" s="2" t="n">
        <v>88</v>
      </c>
      <c r="F26" s="3">
        <f>IF(D26=0,"",ROUND((E26-D26)/D26*100,1))</f>
        <v/>
      </c>
      <c r="G26" s="2">
        <f>IF(E26&gt;=50,"Likely Meets","At Risk")</f>
        <v/>
      </c>
      <c r="H26" s="2">
        <f>IF(E26&gt;=75,"Likely Masters",IF(E26&gt;=60,"Possible","Unlikely"))</f>
        <v/>
      </c>
      <c r="I26" s="2" t="inlineStr">
        <is>
          <t>Strong improvement</t>
        </is>
      </c>
    </row>
  </sheetData>
  <autoFilter ref="A1:I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6" t="inlineStr">
        <is>
          <t>CLASS OVERVIEW DASHBOARD</t>
        </is>
      </c>
    </row>
    <row r="3">
      <c r="A3" s="1" t="inlineStr">
        <is>
          <t>Subject</t>
        </is>
      </c>
      <c r="B3" s="1" t="inlineStr">
        <is>
          <t>Avg Pre-Test</t>
        </is>
      </c>
      <c r="C3" s="1" t="inlineStr">
        <is>
          <t>Avg Post-Test</t>
        </is>
      </c>
      <c r="D3" s="1" t="inlineStr">
        <is>
          <t>Avg Growth %</t>
        </is>
      </c>
      <c r="E3" s="1" t="inlineStr">
        <is>
          <t>Pass Rate (≥50)</t>
        </is>
      </c>
    </row>
    <row r="4">
      <c r="A4" s="2" t="inlineStr">
        <is>
          <t>Math</t>
        </is>
      </c>
      <c r="B4" s="7">
        <f>AVERAGEIF('Student Roster'!C:C,A4,'Student Roster'!D:D)</f>
        <v/>
      </c>
      <c r="C4" s="7">
        <f>AVERAGEIF('Student Roster'!C:C,A4,'Student Roster'!E:E)</f>
        <v/>
      </c>
      <c r="D4" s="3">
        <f>IF(B4=0,"",ROUND((C4-B4)/B4*100,1))</f>
        <v/>
      </c>
      <c r="E4" s="8">
        <f>COUNTIFS('Student Roster'!C:C,A4,'Student Roster'!E:E,"&gt;="&amp;50)/COUNTIF('Student Roster'!C:C,A4)</f>
        <v/>
      </c>
    </row>
    <row r="5">
      <c r="A5" s="4" t="inlineStr">
        <is>
          <t>Reading</t>
        </is>
      </c>
      <c r="B5" s="9">
        <f>AVERAGEIF('Student Roster'!C:C,A5,'Student Roster'!D:D)</f>
        <v/>
      </c>
      <c r="C5" s="9">
        <f>AVERAGEIF('Student Roster'!C:C,A5,'Student Roster'!E:E)</f>
        <v/>
      </c>
      <c r="D5" s="5">
        <f>IF(B5=0,"",ROUND((C5-B5)/B5*100,1))</f>
        <v/>
      </c>
      <c r="E5" s="10">
        <f>COUNTIFS('Student Roster'!C:C,A5,'Student Roster'!E:E,"&gt;="&amp;50)/COUNTIF('Student Roster'!C:C,A5)</f>
        <v/>
      </c>
    </row>
    <row r="6">
      <c r="A6" s="2" t="inlineStr">
        <is>
          <t>Science</t>
        </is>
      </c>
      <c r="B6" s="7">
        <f>AVERAGEIF('Student Roster'!C:C,A6,'Student Roster'!D:D)</f>
        <v/>
      </c>
      <c r="C6" s="7">
        <f>AVERAGEIF('Student Roster'!C:C,A6,'Student Roster'!E:E)</f>
        <v/>
      </c>
      <c r="D6" s="3">
        <f>IF(B6=0,"",ROUND((C6-B6)/B6*100,1))</f>
        <v/>
      </c>
      <c r="E6" s="8">
        <f>COUNTIFS('Student Roster'!C:C,A6,'Student Roster'!E:E,"&gt;="&amp;50)/COUNTIF('Student Roster'!C:C,A6)</f>
        <v/>
      </c>
    </row>
    <row r="7">
      <c r="A7" s="4" t="inlineStr">
        <is>
          <t>Social Studies</t>
        </is>
      </c>
      <c r="B7" s="9">
        <f>AVERAGEIF('Student Roster'!C:C,A7,'Student Roster'!D:D)</f>
        <v/>
      </c>
      <c r="C7" s="9">
        <f>AVERAGEIF('Student Roster'!C:C,A7,'Student Roster'!E:E)</f>
        <v/>
      </c>
      <c r="D7" s="5">
        <f>IF(B7=0,"",ROUND((C7-B7)/B7*100,1))</f>
        <v/>
      </c>
      <c r="E7" s="10">
        <f>COUNTIFS('Student Roster'!C:C,A7,'Student Roster'!E:E,"&gt;="&amp;50)/COUNTIF('Student Roster'!C:C,A7)</f>
        <v/>
      </c>
    </row>
    <row r="10">
      <c r="A10" s="11" t="inlineStr">
        <is>
          <t>STUDENTS AT RISK (Post-Test &lt; 50)</t>
        </is>
      </c>
    </row>
    <row r="11">
      <c r="A11" s="1" t="inlineStr">
        <is>
          <t>Student</t>
        </is>
      </c>
      <c r="B11" s="1" t="inlineStr">
        <is>
          <t>Subject</t>
        </is>
      </c>
      <c r="C11" s="1" t="inlineStr">
        <is>
          <t>Post-Test Score</t>
        </is>
      </c>
      <c r="D11" s="1" t="inlineStr">
        <is>
          <t>Growth %</t>
        </is>
      </c>
      <c r="E11" s="1" t="inlineStr">
        <is>
          <t>Action Needed</t>
        </is>
      </c>
    </row>
    <row r="12">
      <c r="A12" t="inlineStr">
        <is>
          <t>(Filter Student Roster for Post-Test &lt; 50)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25" customWidth="1" min="5" max="5"/>
    <col width="35" customWidth="1" min="6" max="6"/>
    <col width="15" customWidth="1" min="7" max="7"/>
  </cols>
  <sheetData>
    <row r="1">
      <c r="A1" s="1" t="inlineStr">
        <is>
          <t>Week #</t>
        </is>
      </c>
      <c r="B1" s="1" t="inlineStr">
        <is>
          <t>Date Range</t>
        </is>
      </c>
      <c r="C1" s="1" t="inlineStr">
        <is>
          <t>TEKS Covered</t>
        </is>
      </c>
      <c r="D1" s="1" t="inlineStr">
        <is>
          <t>Practice Test Avg</t>
        </is>
      </c>
      <c r="E1" s="1" t="inlineStr">
        <is>
          <t>Reteach Topics</t>
        </is>
      </c>
      <c r="F1" s="1" t="inlineStr">
        <is>
          <t>Small Group Assignments</t>
        </is>
      </c>
      <c r="G1" s="1" t="inlineStr">
        <is>
          <t>Notes</t>
        </is>
      </c>
    </row>
    <row r="2">
      <c r="A2" s="2" t="n">
        <v>1</v>
      </c>
      <c r="B2" s="2" t="inlineStr">
        <is>
          <t>Jan 6-10</t>
        </is>
      </c>
      <c r="C2" s="2" t="inlineStr">
        <is>
          <t>3.4A, 3.4B</t>
        </is>
      </c>
      <c r="D2" s="2" t="n">
        <v>52</v>
      </c>
      <c r="E2" s="2" t="inlineStr">
        <is>
          <t>Place value, number lines</t>
        </is>
      </c>
      <c r="F2" s="2" t="inlineStr">
        <is>
          <t>Group A: Fractions / Group B: Multiplication</t>
        </is>
      </c>
      <c r="G2" s="2" t="inlineStr">
        <is>
          <t>Baseline week</t>
        </is>
      </c>
    </row>
    <row r="3">
      <c r="A3" s="4" t="n">
        <v>2</v>
      </c>
      <c r="B3" s="4" t="inlineStr">
        <is>
          <t>Jan 13-17</t>
        </is>
      </c>
      <c r="C3" s="4" t="inlineStr">
        <is>
          <t>3.5A, 3.5B</t>
        </is>
      </c>
      <c r="D3" s="4" t="n">
        <v>58</v>
      </c>
      <c r="E3" s="4" t="inlineStr">
        <is>
          <t>Addition strategies</t>
        </is>
      </c>
      <c r="F3" s="4" t="inlineStr">
        <is>
          <t>Group A: Word problems / Group B: Mental math</t>
        </is>
      </c>
      <c r="G3" s="4" t="inlineStr"/>
    </row>
    <row r="4">
      <c r="A4" s="2" t="n">
        <v>3</v>
      </c>
      <c r="B4" s="2" t="inlineStr">
        <is>
          <t>Jan 20-24</t>
        </is>
      </c>
      <c r="C4" s="2" t="inlineStr">
        <is>
          <t>3.6A, 3.6C</t>
        </is>
      </c>
      <c r="D4" s="2" t="n">
        <v>55</v>
      </c>
      <c r="E4" s="2" t="inlineStr">
        <is>
          <t>Geometry basics</t>
        </is>
      </c>
      <c r="F4" s="2" t="inlineStr">
        <is>
          <t>Group A: Shapes / Group B: Area</t>
        </is>
      </c>
      <c r="G4" s="2" t="inlineStr">
        <is>
          <t>MLK holiday Mon</t>
        </is>
      </c>
    </row>
    <row r="5">
      <c r="A5" s="4" t="n">
        <v>4</v>
      </c>
      <c r="B5" s="4" t="inlineStr">
        <is>
          <t>Jan 27-31</t>
        </is>
      </c>
      <c r="C5" s="4" t="inlineStr">
        <is>
          <t>3.7A, 3.7B</t>
        </is>
      </c>
      <c r="D5" s="4" t="n">
        <v>61</v>
      </c>
      <c r="E5" s="4" t="inlineStr">
        <is>
          <t>Measurement</t>
        </is>
      </c>
      <c r="F5" s="4" t="inlineStr">
        <is>
          <t>Group A: Customary / Group B: Metric</t>
        </is>
      </c>
      <c r="G5" s="4" t="inlineStr"/>
    </row>
    <row r="6">
      <c r="A6" s="2" t="n">
        <v>5</v>
      </c>
      <c r="B6" s="2" t="inlineStr">
        <is>
          <t>Feb 3-7</t>
        </is>
      </c>
      <c r="C6" s="2" t="inlineStr">
        <is>
          <t>3.8A, 3.8B</t>
        </is>
      </c>
      <c r="D6" s="2" t="n">
        <v>63</v>
      </c>
      <c r="E6" s="2" t="inlineStr">
        <is>
          <t>Data analysis</t>
        </is>
      </c>
      <c r="F6" s="2" t="inlineStr">
        <is>
          <t>Group A: Graphs / Group B: Tables</t>
        </is>
      </c>
      <c r="G6" s="2" t="inlineStr">
        <is>
          <t>Progress reports</t>
        </is>
      </c>
    </row>
    <row r="7">
      <c r="A7" s="4" t="n">
        <v>6</v>
      </c>
      <c r="B7" s="4" t="inlineStr">
        <is>
          <t>Feb 10-14</t>
        </is>
      </c>
      <c r="C7" s="4" t="inlineStr">
        <is>
          <t>Review 3.4-3.8</t>
        </is>
      </c>
      <c r="D7" s="4" t="n">
        <v>67</v>
      </c>
      <c r="E7" s="4" t="inlineStr">
        <is>
          <t>Mixed review</t>
        </is>
      </c>
      <c r="F7" s="4" t="inlineStr">
        <is>
          <t>Targeted by weakness</t>
        </is>
      </c>
      <c r="G7" s="4" t="inlineStr">
        <is>
          <t>Mock STAAR</t>
        </is>
      </c>
    </row>
    <row r="8">
      <c r="A8" s="2" t="n">
        <v>7</v>
      </c>
      <c r="B8" s="2" t="inlineStr">
        <is>
          <t>Feb 17-21</t>
        </is>
      </c>
      <c r="C8" s="2" t="inlineStr">
        <is>
          <t>4.2A, 4.2B</t>
        </is>
      </c>
      <c r="D8" s="2" t="n">
        <v>59</v>
      </c>
      <c r="E8" s="2" t="inlineStr">
        <is>
          <t>Comparing numbers</t>
        </is>
      </c>
      <c r="F8" s="2" t="inlineStr">
        <is>
          <t>Group A: Decimals / Group B: Fractions</t>
        </is>
      </c>
      <c r="G8" s="2" t="inlineStr"/>
    </row>
    <row r="9">
      <c r="A9" s="4" t="n">
        <v>8</v>
      </c>
      <c r="B9" s="4" t="inlineStr">
        <is>
          <t>Feb 24-28</t>
        </is>
      </c>
      <c r="C9" s="4" t="inlineStr">
        <is>
          <t>4.3A, 4.3C</t>
        </is>
      </c>
      <c r="D9" s="4" t="n">
        <v>64</v>
      </c>
      <c r="E9" s="4" t="inlineStr">
        <is>
          <t>Operations</t>
        </is>
      </c>
      <c r="F9" s="4" t="inlineStr">
        <is>
          <t>Differentiated practice</t>
        </is>
      </c>
      <c r="G9" s="4" t="inlineStr">
        <is>
          <t>Parent night Thurs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2" t="inlineStr">
        <is>
          <t>📋 STAAR Prep Tracker — Instructions</t>
        </is>
      </c>
    </row>
    <row r="2">
      <c r="A2" s="13" t="inlineStr"/>
    </row>
    <row r="3">
      <c r="A3" s="12" t="inlineStr">
        <is>
          <t>STUDENT ROSTER TAB</t>
        </is>
      </c>
    </row>
    <row r="4">
      <c r="A4" s="13" t="inlineStr">
        <is>
          <t>• Enter each student's name, grade level, and STAAR subject</t>
        </is>
      </c>
    </row>
    <row r="5">
      <c r="A5" s="13" t="inlineStr">
        <is>
          <t>• Input Pre-Test scores from your baseline assessment</t>
        </is>
      </c>
    </row>
    <row r="6">
      <c r="A6" s="13" t="inlineStr">
        <is>
          <t>• Update Post-Test scores after each practice test or benchmark</t>
        </is>
      </c>
    </row>
    <row r="7">
      <c r="A7" s="13" t="inlineStr">
        <is>
          <t>• Growth %, Meets Prediction, and Masters Prediction auto-calculate</t>
        </is>
      </c>
    </row>
    <row r="8">
      <c r="A8" s="13" t="inlineStr">
        <is>
          <t>• Meets threshold: 50+ on scale score | Masters threshold: 75+</t>
        </is>
      </c>
    </row>
    <row r="9">
      <c r="A9" s="13" t="inlineStr">
        <is>
          <t>• Use Notes column for accommodations, parent contacts, interventions</t>
        </is>
      </c>
    </row>
    <row r="10">
      <c r="A10" s="13" t="inlineStr">
        <is>
          <t>• Use filters (dropdown arrows) to sort by subject, grade, or risk level</t>
        </is>
      </c>
    </row>
    <row r="11">
      <c r="A11" s="13" t="inlineStr"/>
    </row>
    <row r="12">
      <c r="A12" s="12" t="inlineStr">
        <is>
          <t>CLASS OVERVIEW TAB</t>
        </is>
      </c>
    </row>
    <row r="13">
      <c r="A13" s="13" t="inlineStr">
        <is>
          <t>• Automatically pulls averages from Student Roster — no manual entry needed</t>
        </is>
      </c>
    </row>
    <row r="14">
      <c r="A14" s="13" t="inlineStr">
        <is>
          <t>• Shows pass rate by subject to identify weak areas</t>
        </is>
      </c>
    </row>
    <row r="15">
      <c r="A15" s="13" t="inlineStr">
        <is>
          <t>• Use 'Students at Risk' section to flag students needing intervention</t>
        </is>
      </c>
    </row>
    <row r="16">
      <c r="A16" s="13" t="inlineStr"/>
    </row>
    <row r="17">
      <c r="A17" s="12" t="inlineStr">
        <is>
          <t>WEEKLY PLANNING TAB</t>
        </is>
      </c>
    </row>
    <row r="18">
      <c r="A18" s="13" t="inlineStr">
        <is>
          <t>• Plan STAAR prep week by week with specific TEKS alignment</t>
        </is>
      </c>
    </row>
    <row r="19">
      <c r="A19" s="13" t="inlineStr">
        <is>
          <t>• Track practice test averages to monitor class progress over time</t>
        </is>
      </c>
    </row>
    <row r="20">
      <c r="A20" s="13" t="inlineStr">
        <is>
          <t>• Assign small groups based on reteach needs</t>
        </is>
      </c>
    </row>
    <row r="21">
      <c r="A21" s="13" t="inlineStr">
        <is>
          <t>• Great for PLC meetings and admin walkthroughs</t>
        </is>
      </c>
    </row>
    <row r="22">
      <c r="A22" s="13" t="inlineStr"/>
    </row>
    <row r="23">
      <c r="A23" s="12" t="inlineStr">
        <is>
          <t>TIPS FOR TEXAS TEACHERS</t>
        </is>
      </c>
    </row>
    <row r="24">
      <c r="A24" s="13" t="inlineStr">
        <is>
          <t>• Align practice tests to released STAAR items (tea.texas.gov)</t>
        </is>
      </c>
    </row>
    <row r="25">
      <c r="A25" s="13" t="inlineStr">
        <is>
          <t>• Update scores weekly for the most actionable data</t>
        </is>
      </c>
    </row>
    <row r="26">
      <c r="A26" s="13" t="inlineStr">
        <is>
          <t>• Share Class Overview with your admin to show data-driven instruction</t>
        </is>
      </c>
    </row>
    <row r="27">
      <c r="A27" s="13" t="inlineStr">
        <is>
          <t>• Use this tracker as evidence for your T-TESS goal-setting conference</t>
        </is>
      </c>
    </row>
    <row r="28">
      <c r="A28" s="13" t="inlineStr"/>
    </row>
    <row r="29">
      <c r="A29" s="13" t="inlineStr">
        <is>
          <t>© teach4texas | For personal classroom use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2026-02-19T01:02:45Z</dcterms:created>
  <dcterms:modified xsi:type="dcterms:W3CDTF">2026-02-19T01:02:45Z</dcterms:modified>
</cp:coreProperties>
</file>