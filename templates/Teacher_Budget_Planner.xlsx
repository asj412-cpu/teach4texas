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udget" sheetId="1" state="visible" r:id="rId1"/>
    <sheet name="Classroom Spending" sheetId="2" state="visible" r:id="rId2"/>
    <sheet name="Summer Planner" sheetId="3" state="visible" r:id="rId3"/>
    <sheet name="Salary Comparison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  <color rgb="00FFFFFF"/>
      <sz val="12"/>
    </font>
    <font>
      <b val="1"/>
      <color rgb="00FFFFFF"/>
    </font>
    <font>
      <b val="1"/>
    </font>
    <font>
      <b val="1"/>
      <color rgb="00548235"/>
    </font>
    <font>
      <b val="1"/>
      <color rgb="00C00000"/>
    </font>
    <font>
      <b val="1"/>
      <sz val="13"/>
    </font>
    <font>
      <b val="1"/>
      <color rgb="001F4E79"/>
      <sz val="13"/>
    </font>
    <font>
      <name val="Calibri"/>
      <b val="1"/>
      <color rgb="00FFFFFF"/>
      <sz val="12"/>
    </font>
    <font>
      <name val="Calibri"/>
      <b val="1"/>
      <sz val="11"/>
    </font>
    <font>
      <b val="1"/>
      <sz val="12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3" fillId="4" borderId="0" pivotButton="0" quotePrefix="0" xfId="0"/>
    <xf numFmtId="164" fontId="6" fillId="0" borderId="1" pivotButton="0" quotePrefix="0" xfId="0"/>
    <xf numFmtId="0" fontId="7" fillId="0" borderId="0" pivotButton="0" quotePrefix="0" xfId="0"/>
    <xf numFmtId="164" fontId="8" fillId="0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4" fillId="0" borderId="0" pivotButton="0" quotePrefix="0" xfId="0"/>
    <xf numFmtId="165" fontId="4" fillId="0" borderId="0" pivotButton="0" quotePrefix="0" xfId="0"/>
    <xf numFmtId="165" fontId="6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164" fontId="5" fillId="0" borderId="0" pivotButton="0" quotePrefix="0" xfId="0"/>
    <xf numFmtId="164" fontId="0" fillId="6" borderId="1" pivotButton="0" quotePrefix="0" xfId="0"/>
    <xf numFmtId="164" fontId="11" fillId="0" borderId="1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5" customWidth="1" min="4" max="4"/>
  </cols>
  <sheetData>
    <row r="1">
      <c r="A1" s="1" t="inlineStr">
        <is>
          <t>MONTHLY INCOME &amp; EXPENSES</t>
        </is>
      </c>
    </row>
    <row r="3">
      <c r="A3" s="2" t="inlineStr">
        <is>
          <t>Source</t>
        </is>
      </c>
      <c r="B3" s="2" t="inlineStr">
        <is>
          <t>Monthly Amount</t>
        </is>
      </c>
      <c r="C3" s="2" t="inlineStr">
        <is>
          <t>Annual Amount</t>
        </is>
      </c>
      <c r="D3" s="2" t="inlineStr">
        <is>
          <t>Notes</t>
        </is>
      </c>
    </row>
    <row r="4">
      <c r="A4" s="3" t="inlineStr">
        <is>
          <t>Base Salary (after taxes)</t>
        </is>
      </c>
      <c r="B4" s="4" t="n">
        <v>3800</v>
      </c>
      <c r="C4" s="4">
        <f>B4*12</f>
        <v/>
      </c>
      <c r="D4" s="3" t="inlineStr">
        <is>
          <t>Gross ~$55K, net ~$45.6K</t>
        </is>
      </c>
    </row>
    <row r="5">
      <c r="A5" s="5" t="inlineStr">
        <is>
          <t>Tutoring</t>
        </is>
      </c>
      <c r="B5" s="6" t="n">
        <v>400</v>
      </c>
      <c r="C5" s="6">
        <f>B5*12</f>
        <v/>
      </c>
      <c r="D5" s="5" t="inlineStr">
        <is>
          <t>2 students × $50/hr × 4 sessions</t>
        </is>
      </c>
    </row>
    <row r="6">
      <c r="A6" s="3" t="inlineStr">
        <is>
          <t>TPT Sales</t>
        </is>
      </c>
      <c r="B6" s="4" t="n">
        <v>150</v>
      </c>
      <c r="C6" s="4">
        <f>B6*12</f>
        <v/>
      </c>
      <c r="D6" s="3" t="inlineStr">
        <is>
          <t>Average monthly — varies seasonally</t>
        </is>
      </c>
    </row>
    <row r="7">
      <c r="A7" s="5" t="inlineStr">
        <is>
          <t>Side Hustle (other)</t>
        </is>
      </c>
      <c r="B7" s="6" t="n">
        <v>0</v>
      </c>
      <c r="C7" s="6">
        <f>B7*12</f>
        <v/>
      </c>
      <c r="D7" s="5" t="inlineStr">
        <is>
          <t>Curriculum writing, workshops, etc.</t>
        </is>
      </c>
    </row>
    <row r="8">
      <c r="A8" s="3" t="inlineStr">
        <is>
          <t>TIA Stipend (monthly)</t>
        </is>
      </c>
      <c r="B8" s="4" t="n">
        <v>500</v>
      </c>
      <c r="C8" s="4">
        <f>B8*12</f>
        <v/>
      </c>
      <c r="D8" s="3" t="inlineStr">
        <is>
          <t>Exemplary = ~$6K-$12K/yr</t>
        </is>
      </c>
    </row>
    <row r="9">
      <c r="A9" s="7" t="inlineStr">
        <is>
          <t>TOTAL INCOME</t>
        </is>
      </c>
      <c r="B9" s="8">
        <f>SUM(B4:B8)</f>
        <v/>
      </c>
      <c r="C9" s="3" t="n"/>
      <c r="D9" s="3" t="n"/>
    </row>
    <row r="11">
      <c r="A11" s="9" t="inlineStr">
        <is>
          <t>Category</t>
        </is>
      </c>
      <c r="B11" s="9" t="inlineStr">
        <is>
          <t>Monthly Amount</t>
        </is>
      </c>
      <c r="C11" s="9" t="inlineStr">
        <is>
          <t>Annual Amount</t>
        </is>
      </c>
      <c r="D11" s="9" t="inlineStr">
        <is>
          <t>Notes</t>
        </is>
      </c>
    </row>
    <row r="12">
      <c r="A12" s="3" t="inlineStr">
        <is>
          <t>Rent/Mortgage</t>
        </is>
      </c>
      <c r="B12" s="4" t="n">
        <v>1200</v>
      </c>
      <c r="C12" s="4">
        <f>B12*12</f>
        <v/>
      </c>
      <c r="D12" s="3" t="inlineStr"/>
    </row>
    <row r="13">
      <c r="A13" s="5" t="inlineStr">
        <is>
          <t>Car Payment</t>
        </is>
      </c>
      <c r="B13" s="6" t="n">
        <v>350</v>
      </c>
      <c r="C13" s="6">
        <f>B13*12</f>
        <v/>
      </c>
      <c r="D13" s="5" t="inlineStr"/>
    </row>
    <row r="14">
      <c r="A14" s="3" t="inlineStr">
        <is>
          <t>Car Insurance</t>
        </is>
      </c>
      <c r="B14" s="4" t="n">
        <v>150</v>
      </c>
      <c r="C14" s="4">
        <f>B14*12</f>
        <v/>
      </c>
      <c r="D14" s="3" t="inlineStr"/>
    </row>
    <row r="15">
      <c r="A15" s="5" t="inlineStr">
        <is>
          <t>Gas/Transportation</t>
        </is>
      </c>
      <c r="B15" s="6" t="n">
        <v>120</v>
      </c>
      <c r="C15" s="6">
        <f>B15*12</f>
        <v/>
      </c>
      <c r="D15" s="5" t="inlineStr"/>
    </row>
    <row r="16">
      <c r="A16" s="3" t="inlineStr">
        <is>
          <t>Student Loans</t>
        </is>
      </c>
      <c r="B16" s="4" t="n">
        <v>300</v>
      </c>
      <c r="C16" s="4">
        <f>B16*12</f>
        <v/>
      </c>
      <c r="D16" s="3" t="inlineStr">
        <is>
          <t>PSLF eligible — 10 yr forgiveness</t>
        </is>
      </c>
    </row>
    <row r="17">
      <c r="A17" s="5" t="inlineStr">
        <is>
          <t>Groceries</t>
        </is>
      </c>
      <c r="B17" s="6" t="n">
        <v>400</v>
      </c>
      <c r="C17" s="6">
        <f>B17*12</f>
        <v/>
      </c>
      <c r="D17" s="5" t="inlineStr"/>
    </row>
    <row r="18">
      <c r="A18" s="3" t="inlineStr">
        <is>
          <t>Utilities (electric, water, internet)</t>
        </is>
      </c>
      <c r="B18" s="4" t="n">
        <v>200</v>
      </c>
      <c r="C18" s="4">
        <f>B18*12</f>
        <v/>
      </c>
      <c r="D18" s="3" t="inlineStr"/>
    </row>
    <row r="19">
      <c r="A19" s="5" t="inlineStr">
        <is>
          <t>Phone</t>
        </is>
      </c>
      <c r="B19" s="6" t="n">
        <v>80</v>
      </c>
      <c r="C19" s="6">
        <f>B19*12</f>
        <v/>
      </c>
      <c r="D19" s="5" t="inlineStr"/>
    </row>
    <row r="20">
      <c r="A20" s="3" t="inlineStr">
        <is>
          <t>Health Insurance</t>
        </is>
      </c>
      <c r="B20" s="4" t="n">
        <v>150</v>
      </c>
      <c r="C20" s="4">
        <f>B20*12</f>
        <v/>
      </c>
      <c r="D20" s="3" t="inlineStr">
        <is>
          <t>District plan</t>
        </is>
      </c>
    </row>
    <row r="21">
      <c r="A21" s="5" t="inlineStr">
        <is>
          <t>Subscriptions (Netflix, Spotify, etc.)</t>
        </is>
      </c>
      <c r="B21" s="6" t="n">
        <v>50</v>
      </c>
      <c r="C21" s="6">
        <f>B21*12</f>
        <v/>
      </c>
      <c r="D21" s="5" t="inlineStr"/>
    </row>
    <row r="22">
      <c r="A22" s="3" t="inlineStr">
        <is>
          <t>Dining Out / Coffee</t>
        </is>
      </c>
      <c r="B22" s="4" t="n">
        <v>150</v>
      </c>
      <c r="C22" s="4">
        <f>B22*12</f>
        <v/>
      </c>
      <c r="D22" s="3" t="inlineStr"/>
    </row>
    <row r="23">
      <c r="A23" s="5" t="inlineStr">
        <is>
          <t>Classroom Spending</t>
        </is>
      </c>
      <c r="B23" s="6" t="n">
        <v>75</v>
      </c>
      <c r="C23" s="6">
        <f>B23*12</f>
        <v/>
      </c>
      <c r="D23" s="5" t="inlineStr">
        <is>
          <t>See Classroom Spending tab</t>
        </is>
      </c>
    </row>
    <row r="24">
      <c r="A24" s="3" t="inlineStr">
        <is>
          <t>Savings</t>
        </is>
      </c>
      <c r="B24" s="4" t="n">
        <v>200</v>
      </c>
      <c r="C24" s="4">
        <f>B24*12</f>
        <v/>
      </c>
      <c r="D24" s="3" t="inlineStr">
        <is>
          <t>Emergency fund goal</t>
        </is>
      </c>
    </row>
    <row r="25">
      <c r="A25" s="5" t="inlineStr">
        <is>
          <t>Other / Misc</t>
        </is>
      </c>
      <c r="B25" s="6" t="n">
        <v>100</v>
      </c>
      <c r="C25" s="6">
        <f>B25*12</f>
        <v/>
      </c>
      <c r="D25" s="5" t="inlineStr"/>
    </row>
    <row r="26">
      <c r="A26" s="7" t="inlineStr">
        <is>
          <t>TOTAL EXPENSES</t>
        </is>
      </c>
      <c r="B26" s="10">
        <f>SUM(B12:B25)</f>
        <v/>
      </c>
      <c r="C26" s="3" t="n"/>
      <c r="D26" s="3" t="n"/>
    </row>
    <row r="28">
      <c r="A28" s="11" t="inlineStr">
        <is>
          <t>NET MONTHLY (Income - Expenses)</t>
        </is>
      </c>
      <c r="B28" s="12">
        <f>B9-B26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>
      <c r="A1" s="13" t="inlineStr">
        <is>
          <t>Date</t>
        </is>
      </c>
      <c r="B1" s="13" t="inlineStr">
        <is>
          <t>Item</t>
        </is>
      </c>
      <c r="C1" s="13" t="inlineStr">
        <is>
          <t>Category</t>
        </is>
      </c>
      <c r="D1" s="13" t="inlineStr">
        <is>
          <t>Cost</t>
        </is>
      </c>
      <c r="E1" s="13" t="inlineStr">
        <is>
          <t>Reimbursed?</t>
        </is>
      </c>
      <c r="F1" s="13" t="inlineStr">
        <is>
          <t>Out of Pocket</t>
        </is>
      </c>
      <c r="G1" s="13" t="inlineStr">
        <is>
          <t>Notes</t>
        </is>
      </c>
    </row>
    <row r="2">
      <c r="A2" s="14" t="inlineStr">
        <is>
          <t>2025-08-10</t>
        </is>
      </c>
      <c r="B2" s="14" t="inlineStr">
        <is>
          <t>Expo markers (bulk)</t>
        </is>
      </c>
      <c r="C2" s="14" t="inlineStr">
        <is>
          <t>Supplies</t>
        </is>
      </c>
      <c r="D2" s="15" t="n">
        <v>24.99</v>
      </c>
      <c r="E2" s="14" t="inlineStr">
        <is>
          <t>No</t>
        </is>
      </c>
      <c r="F2" s="15">
        <f>IF(E2="Yes",0,D2)</f>
        <v/>
      </c>
      <c r="G2" s="14" t="inlineStr">
        <is>
          <t>Back to school</t>
        </is>
      </c>
    </row>
    <row r="3">
      <c r="A3" s="16" t="inlineStr">
        <is>
          <t>2025-08-10</t>
        </is>
      </c>
      <c r="B3" s="16" t="inlineStr">
        <is>
          <t>Bulletin board borders</t>
        </is>
      </c>
      <c r="C3" s="16" t="inlineStr">
        <is>
          <t>Decor</t>
        </is>
      </c>
      <c r="D3" s="17" t="n">
        <v>18.5</v>
      </c>
      <c r="E3" s="16" t="inlineStr">
        <is>
          <t>No</t>
        </is>
      </c>
      <c r="F3" s="17">
        <f>IF(E3="Yes",0,D3)</f>
        <v/>
      </c>
      <c r="G3" s="16" t="inlineStr">
        <is>
          <t>Classroom setup</t>
        </is>
      </c>
    </row>
    <row r="4">
      <c r="A4" s="14" t="inlineStr">
        <is>
          <t>2025-08-15</t>
        </is>
      </c>
      <c r="B4" s="14" t="inlineStr">
        <is>
          <t>Composition notebooks (30-pk)</t>
        </is>
      </c>
      <c r="C4" s="14" t="inlineStr">
        <is>
          <t>Supplies</t>
        </is>
      </c>
      <c r="D4" s="15" t="n">
        <v>32</v>
      </c>
      <c r="E4" s="14" t="inlineStr">
        <is>
          <t>Yes</t>
        </is>
      </c>
      <c r="F4" s="15">
        <f>IF(E4="Yes",0,D4)</f>
        <v/>
      </c>
      <c r="G4" s="14" t="inlineStr">
        <is>
          <t>Reimbursed by campus</t>
        </is>
      </c>
    </row>
    <row r="5">
      <c r="A5" s="16" t="inlineStr">
        <is>
          <t>2025-08-20</t>
        </is>
      </c>
      <c r="B5" s="16" t="inlineStr">
        <is>
          <t>Flexible seating cushions</t>
        </is>
      </c>
      <c r="C5" s="16" t="inlineStr">
        <is>
          <t>Decor</t>
        </is>
      </c>
      <c r="D5" s="17" t="n">
        <v>45</v>
      </c>
      <c r="E5" s="16" t="inlineStr">
        <is>
          <t>No</t>
        </is>
      </c>
      <c r="F5" s="17">
        <f>IF(E5="Yes",0,D5)</f>
        <v/>
      </c>
      <c r="G5" s="16" t="inlineStr">
        <is>
          <t>Amazon</t>
        </is>
      </c>
    </row>
    <row r="6">
      <c r="A6" s="14" t="inlineStr">
        <is>
          <t>2025-09-05</t>
        </is>
      </c>
      <c r="B6" s="14" t="inlineStr">
        <is>
          <t>Laminating pouches</t>
        </is>
      </c>
      <c r="C6" s="14" t="inlineStr">
        <is>
          <t>Supplies</t>
        </is>
      </c>
      <c r="D6" s="15" t="n">
        <v>12.99</v>
      </c>
      <c r="E6" s="14" t="inlineStr">
        <is>
          <t>No</t>
        </is>
      </c>
      <c r="F6" s="15">
        <f>IF(E6="Yes",0,D6)</f>
        <v/>
      </c>
      <c r="G6" s="14" t="inlineStr"/>
    </row>
    <row r="7">
      <c r="A7" s="16" t="inlineStr">
        <is>
          <t>2025-09-15</t>
        </is>
      </c>
      <c r="B7" s="16" t="inlineStr">
        <is>
          <t>Quiz app premium subscription</t>
        </is>
      </c>
      <c r="C7" s="16" t="inlineStr">
        <is>
          <t>Tech</t>
        </is>
      </c>
      <c r="D7" s="17" t="n">
        <v>48</v>
      </c>
      <c r="E7" s="16" t="inlineStr">
        <is>
          <t>Yes</t>
        </is>
      </c>
      <c r="F7" s="17">
        <f>IF(E7="Yes",0,D7)</f>
        <v/>
      </c>
      <c r="G7" s="16" t="inlineStr">
        <is>
          <t>District paid</t>
        </is>
      </c>
    </row>
    <row r="8">
      <c r="A8" s="14" t="inlineStr">
        <is>
          <t>2025-10-01</t>
        </is>
      </c>
      <c r="B8" s="14" t="inlineStr">
        <is>
          <t>Halloween incentive prizes</t>
        </is>
      </c>
      <c r="C8" s="14" t="inlineStr">
        <is>
          <t>Supplies</t>
        </is>
      </c>
      <c r="D8" s="15" t="n">
        <v>15</v>
      </c>
      <c r="E8" s="14" t="inlineStr">
        <is>
          <t>No</t>
        </is>
      </c>
      <c r="F8" s="15">
        <f>IF(E8="Yes",0,D8)</f>
        <v/>
      </c>
      <c r="G8" s="14" t="inlineStr">
        <is>
          <t>Dollar Tree</t>
        </is>
      </c>
    </row>
    <row r="9">
      <c r="A9" s="16" t="inlineStr">
        <is>
          <t>2025-10-20</t>
        </is>
      </c>
      <c r="B9" s="16" t="inlineStr">
        <is>
          <t>Scholastic book order (class set)</t>
        </is>
      </c>
      <c r="C9" s="16" t="inlineStr">
        <is>
          <t>Curriculum</t>
        </is>
      </c>
      <c r="D9" s="17" t="n">
        <v>35</v>
      </c>
      <c r="E9" s="16" t="inlineStr">
        <is>
          <t>No</t>
        </is>
      </c>
      <c r="F9" s="17">
        <f>IF(E9="Yes",0,D9)</f>
        <v/>
      </c>
      <c r="G9" s="16" t="inlineStr">
        <is>
          <t>Used bonus points too</t>
        </is>
      </c>
    </row>
    <row r="10">
      <c r="A10" s="14" t="inlineStr">
        <is>
          <t>2025-11-15</t>
        </is>
      </c>
      <c r="B10" s="14" t="inlineStr">
        <is>
          <t>Chart paper (10-pk)</t>
        </is>
      </c>
      <c r="C10" s="14" t="inlineStr">
        <is>
          <t>Supplies</t>
        </is>
      </c>
      <c r="D10" s="15" t="n">
        <v>22</v>
      </c>
      <c r="E10" s="14" t="inlineStr">
        <is>
          <t>No</t>
        </is>
      </c>
      <c r="F10" s="15">
        <f>IF(E10="Yes",0,D10)</f>
        <v/>
      </c>
      <c r="G10" s="14" t="inlineStr"/>
    </row>
    <row r="11">
      <c r="A11" s="16" t="inlineStr">
        <is>
          <t>2025-12-10</t>
        </is>
      </c>
      <c r="B11" s="16" t="inlineStr">
        <is>
          <t>Holiday party supplies</t>
        </is>
      </c>
      <c r="C11" s="16" t="inlineStr">
        <is>
          <t>Supplies</t>
        </is>
      </c>
      <c r="D11" s="17" t="n">
        <v>20</v>
      </c>
      <c r="E11" s="16" t="inlineStr">
        <is>
          <t>No</t>
        </is>
      </c>
      <c r="F11" s="17">
        <f>IF(E11="Yes",0,D11)</f>
        <v/>
      </c>
      <c r="G11" s="16" t="inlineStr">
        <is>
          <t>Shared cost with team</t>
        </is>
      </c>
    </row>
    <row r="12">
      <c r="A12" s="14" t="inlineStr">
        <is>
          <t>2026-01-05</t>
        </is>
      </c>
      <c r="B12" s="14" t="inlineStr">
        <is>
          <t>New pencil sharpener</t>
        </is>
      </c>
      <c r="C12" s="14" t="inlineStr">
        <is>
          <t>Supplies</t>
        </is>
      </c>
      <c r="D12" s="15" t="n">
        <v>28.99</v>
      </c>
      <c r="E12" s="14" t="inlineStr">
        <is>
          <t>No</t>
        </is>
      </c>
      <c r="F12" s="15">
        <f>IF(E12="Yes",0,D12)</f>
        <v/>
      </c>
      <c r="G12" s="14" t="inlineStr">
        <is>
          <t>Electric — worth it</t>
        </is>
      </c>
    </row>
    <row r="13">
      <c r="A13" s="16" t="inlineStr">
        <is>
          <t>2026-01-20</t>
        </is>
      </c>
      <c r="B13" s="16" t="inlineStr">
        <is>
          <t>STAAR prep workbooks</t>
        </is>
      </c>
      <c r="C13" s="16" t="inlineStr">
        <is>
          <t>Curriculum</t>
        </is>
      </c>
      <c r="D13" s="17" t="n">
        <v>55</v>
      </c>
      <c r="E13" s="16" t="inlineStr">
        <is>
          <t>Yes</t>
        </is>
      </c>
      <c r="F13" s="17">
        <f>IF(E13="Yes",0,D13)</f>
        <v/>
      </c>
      <c r="G13" s="16" t="inlineStr">
        <is>
          <t>Title I funds</t>
        </is>
      </c>
    </row>
    <row r="15">
      <c r="C15" s="18" t="inlineStr">
        <is>
          <t>TOTALS:</t>
        </is>
      </c>
      <c r="D15" s="19">
        <f>SUM(D2:D13)</f>
        <v/>
      </c>
      <c r="F15" s="20">
        <f>SUM(F2:F13)</f>
        <v/>
      </c>
    </row>
    <row r="17">
      <c r="A17" s="21" t="inlineStr">
        <is>
          <t>SPENDING BY CATEGORY</t>
        </is>
      </c>
    </row>
    <row r="18">
      <c r="A18" t="inlineStr">
        <is>
          <t>Supplies</t>
        </is>
      </c>
      <c r="B18" s="22">
        <f>SUMIF(C2:C13,A18,D2:D13)</f>
        <v/>
      </c>
    </row>
    <row r="19">
      <c r="A19" t="inlineStr">
        <is>
          <t>Decor</t>
        </is>
      </c>
      <c r="B19" s="22">
        <f>SUMIF(C2:C13,A19,D2:D13)</f>
        <v/>
      </c>
    </row>
    <row r="20">
      <c r="A20" t="inlineStr">
        <is>
          <t>Tech</t>
        </is>
      </c>
      <c r="B20" s="22">
        <f>SUMIF(C2:C13,A20,D2:D13)</f>
        <v/>
      </c>
    </row>
    <row r="21">
      <c r="A21" t="inlineStr">
        <is>
          <t>Curriculum</t>
        </is>
      </c>
      <c r="B21" s="22">
        <f>SUMIF(C2:C13,A21,D2:D13)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SUMMER INCOME PLANNER</t>
        </is>
      </c>
    </row>
    <row r="3">
      <c r="A3" s="13" t="inlineStr">
        <is>
          <t>Income Source</t>
        </is>
      </c>
      <c r="B3" s="13" t="inlineStr">
        <is>
          <t>June</t>
        </is>
      </c>
      <c r="C3" s="13" t="inlineStr">
        <is>
          <t>July</t>
        </is>
      </c>
      <c r="D3" s="13" t="inlineStr">
        <is>
          <t>Total</t>
        </is>
      </c>
    </row>
    <row r="4">
      <c r="A4" s="3" t="inlineStr">
        <is>
          <t>Summer School Teaching</t>
        </is>
      </c>
      <c r="B4" s="4" t="n">
        <v>2500</v>
      </c>
      <c r="C4" s="4" t="n">
        <v>2500</v>
      </c>
      <c r="D4" s="4">
        <f>B4+C4</f>
        <v/>
      </c>
    </row>
    <row r="5">
      <c r="A5" s="5" t="inlineStr">
        <is>
          <t>Private Tutoring</t>
        </is>
      </c>
      <c r="B5" s="6" t="n">
        <v>800</v>
      </c>
      <c r="C5" s="6" t="n">
        <v>600</v>
      </c>
      <c r="D5" s="6">
        <f>B5+C5</f>
        <v/>
      </c>
    </row>
    <row r="6">
      <c r="A6" s="3" t="inlineStr">
        <is>
          <t>TPT Sales</t>
        </is>
      </c>
      <c r="B6" s="4" t="n">
        <v>200</v>
      </c>
      <c r="C6" s="4" t="n">
        <v>300</v>
      </c>
      <c r="D6" s="4">
        <f>B6+C6</f>
        <v/>
      </c>
    </row>
    <row r="7">
      <c r="A7" s="5" t="inlineStr">
        <is>
          <t>Camp Counselor / Other</t>
        </is>
      </c>
      <c r="B7" s="6" t="n">
        <v>0</v>
      </c>
      <c r="C7" s="6" t="n">
        <v>0</v>
      </c>
      <c r="D7" s="6">
        <f>B7+C7</f>
        <v/>
      </c>
    </row>
    <row r="8">
      <c r="A8" s="3" t="inlineStr">
        <is>
          <t>Curriculum Writing</t>
        </is>
      </c>
      <c r="B8" s="4" t="n">
        <v>500</v>
      </c>
      <c r="C8" s="4" t="n">
        <v>500</v>
      </c>
      <c r="D8" s="4">
        <f>B8+C8</f>
        <v/>
      </c>
    </row>
    <row r="9">
      <c r="A9" s="18" t="inlineStr">
        <is>
          <t>TOTAL SUMMER INCOME</t>
        </is>
      </c>
      <c r="D9" s="23">
        <f>SUM(D4:D8)</f>
        <v/>
      </c>
    </row>
    <row r="11">
      <c r="A11" s="21" t="inlineStr">
        <is>
          <t>SUMMER SAVINGS GOALS</t>
        </is>
      </c>
    </row>
    <row r="12">
      <c r="A12" s="13" t="inlineStr">
        <is>
          <t>Goal</t>
        </is>
      </c>
      <c r="B12" s="13" t="inlineStr">
        <is>
          <t>Target Amount</t>
        </is>
      </c>
      <c r="C12" s="13" t="inlineStr">
        <is>
          <t>Saved So Far</t>
        </is>
      </c>
      <c r="D12" s="13" t="inlineStr">
        <is>
          <t>Remaining</t>
        </is>
      </c>
    </row>
    <row r="13">
      <c r="A13" s="3" t="inlineStr">
        <is>
          <t>Emergency Fund Contribution</t>
        </is>
      </c>
      <c r="B13" s="4" t="n">
        <v>1000</v>
      </c>
      <c r="C13" s="24" t="n">
        <v>0</v>
      </c>
      <c r="D13" s="4">
        <f>B13-C13</f>
        <v/>
      </c>
    </row>
    <row r="14">
      <c r="A14" s="3" t="inlineStr">
        <is>
          <t>Back-to-School Classroom Setup</t>
        </is>
      </c>
      <c r="B14" s="4" t="n">
        <v>300</v>
      </c>
      <c r="C14" s="24" t="n">
        <v>0</v>
      </c>
      <c r="D14" s="4">
        <f>B14-C14</f>
        <v/>
      </c>
    </row>
    <row r="15">
      <c r="A15" s="3" t="inlineStr">
        <is>
          <t>Vacation / Self-Care</t>
        </is>
      </c>
      <c r="B15" s="4" t="n">
        <v>500</v>
      </c>
      <c r="C15" s="24" t="n">
        <v>0</v>
      </c>
      <c r="D15" s="4">
        <f>B15-C15</f>
        <v/>
      </c>
    </row>
    <row r="16">
      <c r="A16" s="3" t="inlineStr">
        <is>
          <t>Professional Development</t>
        </is>
      </c>
      <c r="B16" s="4" t="n">
        <v>200</v>
      </c>
      <c r="C16" s="24" t="n">
        <v>0</v>
      </c>
      <c r="D16" s="4">
        <f>B16-C16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5" customWidth="1" min="5" max="5"/>
  </cols>
  <sheetData>
    <row r="1">
      <c r="A1" s="1" t="inlineStr">
        <is>
          <t>SALARY &amp; COMPENSATION COMPARISON</t>
        </is>
      </c>
    </row>
    <row r="3">
      <c r="A3" s="13" t="inlineStr">
        <is>
          <t>Component</t>
        </is>
      </c>
      <c r="B3" s="13" t="inlineStr">
        <is>
          <t>Current District</t>
        </is>
      </c>
      <c r="C3" s="13" t="inlineStr">
        <is>
          <t>District B</t>
        </is>
      </c>
      <c r="D3" s="13" t="inlineStr">
        <is>
          <t>District C</t>
        </is>
      </c>
      <c r="E3" s="13" t="inlineStr">
        <is>
          <t>Notes</t>
        </is>
      </c>
    </row>
    <row r="4">
      <c r="A4" s="3" t="inlineStr">
        <is>
          <t>Base Salary</t>
        </is>
      </c>
      <c r="B4" s="4" t="n">
        <v>55000</v>
      </c>
      <c r="C4" s="4" t="n">
        <v>58000</v>
      </c>
      <c r="D4" s="4" t="n">
        <v>52000</v>
      </c>
      <c r="E4" s="3" t="inlineStr">
        <is>
          <t>Check salary schedule for your step</t>
        </is>
      </c>
    </row>
    <row r="5">
      <c r="A5" s="5" t="inlineStr">
        <is>
          <t>Bilingual Stipend</t>
        </is>
      </c>
      <c r="B5" s="6" t="n">
        <v>3000</v>
      </c>
      <c r="C5" s="6" t="n">
        <v>2500</v>
      </c>
      <c r="D5" s="6" t="n">
        <v>4000</v>
      </c>
      <c r="E5" s="5" t="inlineStr">
        <is>
          <t>If applicable</t>
        </is>
      </c>
    </row>
    <row r="6">
      <c r="A6" s="3" t="inlineStr">
        <is>
          <t>GT Stipend</t>
        </is>
      </c>
      <c r="B6" s="4" t="n">
        <v>1500</v>
      </c>
      <c r="C6" s="4" t="n">
        <v>1000</v>
      </c>
      <c r="D6" s="4" t="n">
        <v>2000</v>
      </c>
      <c r="E6" s="3" t="inlineStr">
        <is>
          <t>If applicable</t>
        </is>
      </c>
    </row>
    <row r="7">
      <c r="A7" s="5" t="inlineStr">
        <is>
          <t>Master's Degree Stipend</t>
        </is>
      </c>
      <c r="B7" s="6" t="n">
        <v>1500</v>
      </c>
      <c r="C7" s="6" t="n">
        <v>2000</v>
      </c>
      <c r="D7" s="6" t="n">
        <v>1000</v>
      </c>
      <c r="E7" s="5" t="inlineStr"/>
    </row>
    <row r="8">
      <c r="A8" s="3" t="inlineStr">
        <is>
          <t>TIA - Recognized</t>
        </is>
      </c>
      <c r="B8" s="4" t="n">
        <v>5000</v>
      </c>
      <c r="C8" s="4" t="n">
        <v>3000</v>
      </c>
      <c r="D8" s="4" t="n">
        <v>6000</v>
      </c>
      <c r="E8" s="3" t="inlineStr">
        <is>
          <t>Varies by district allotment</t>
        </is>
      </c>
    </row>
    <row r="9">
      <c r="A9" s="5" t="inlineStr">
        <is>
          <t>TIA - Exemplary</t>
        </is>
      </c>
      <c r="B9" s="6" t="n">
        <v>9000</v>
      </c>
      <c r="C9" s="6" t="n">
        <v>7000</v>
      </c>
      <c r="D9" s="6" t="n">
        <v>12000</v>
      </c>
      <c r="E9" s="5" t="inlineStr"/>
    </row>
    <row r="10">
      <c r="A10" s="3" t="inlineStr">
        <is>
          <t>TIA - Master</t>
        </is>
      </c>
      <c r="B10" s="4" t="n">
        <v>20000</v>
      </c>
      <c r="C10" s="4" t="n">
        <v>15000</v>
      </c>
      <c r="D10" s="4" t="n">
        <v>32000</v>
      </c>
      <c r="E10" s="3" t="inlineStr">
        <is>
          <t>Rural districts often pay more</t>
        </is>
      </c>
    </row>
    <row r="11">
      <c r="A11" s="5" t="inlineStr">
        <is>
          <t>Health Insurance (district share)</t>
        </is>
      </c>
      <c r="B11" s="6" t="n">
        <v>0</v>
      </c>
      <c r="C11" s="6" t="n">
        <v>0</v>
      </c>
      <c r="D11" s="6" t="n">
        <v>0</v>
      </c>
      <c r="E11" s="5" t="inlineStr">
        <is>
          <t>Check out-of-pocket difference</t>
        </is>
      </c>
    </row>
    <row r="12">
      <c r="A12" s="3" t="inlineStr">
        <is>
          <t>TOTAL (with Exemplary TIA)</t>
        </is>
      </c>
      <c r="B12" s="25">
        <f>B4+B9</f>
        <v/>
      </c>
      <c r="C12" s="25">
        <f>C4+C9</f>
        <v/>
      </c>
      <c r="D12" s="25">
        <f>D4+D9</f>
        <v/>
      </c>
      <c r="E12" s="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6" t="inlineStr">
        <is>
          <t>📋 Teacher Budget Planner — Instructions</t>
        </is>
      </c>
    </row>
    <row r="2">
      <c r="A2" s="27" t="inlineStr"/>
    </row>
    <row r="3">
      <c r="A3" s="26" t="inlineStr">
        <is>
          <t>MONTHLY BUDGET TAB</t>
        </is>
      </c>
    </row>
    <row r="4">
      <c r="A4" s="27" t="inlineStr">
        <is>
          <t>• Update the yellow/editable amounts to match YOUR actual income and expenses</t>
        </is>
      </c>
    </row>
    <row r="5">
      <c r="A5" s="27" t="inlineStr">
        <is>
          <t>• Annual amounts auto-calculate (monthly × 12)</t>
        </is>
      </c>
    </row>
    <row r="6">
      <c r="A6" s="27" t="inlineStr">
        <is>
          <t>• Net Monthly shows what's left after all expenses</t>
        </is>
      </c>
    </row>
    <row r="7">
      <c r="A7" s="27" t="inlineStr">
        <is>
          <t>• Include ALL income sources: salary, tutoring, TPT, TIA stipend</t>
        </is>
      </c>
    </row>
    <row r="8">
      <c r="A8" s="27" t="inlineStr">
        <is>
          <t>• Remember: Texas has no state income tax! 🤠</t>
        </is>
      </c>
    </row>
    <row r="9">
      <c r="A9" s="27" t="inlineStr"/>
    </row>
    <row r="10">
      <c r="A10" s="26" t="inlineStr">
        <is>
          <t>CLASSROOM SPENDING TAB</t>
        </is>
      </c>
    </row>
    <row r="11">
      <c r="A11" s="27" t="inlineStr">
        <is>
          <t>• Log every classroom purchase — you'll be shocked how much it adds up</t>
        </is>
      </c>
    </row>
    <row r="12">
      <c r="A12" s="27" t="inlineStr">
        <is>
          <t>• Mark whether it was reimbursed (campus funds, Title I, PTA, etc.)</t>
        </is>
      </c>
    </row>
    <row r="13">
      <c r="A13" s="27" t="inlineStr">
        <is>
          <t>• Out of Pocket auto-calculates for non-reimbursed items</t>
        </is>
      </c>
    </row>
    <row r="14">
      <c r="A14" s="27" t="inlineStr">
        <is>
          <t>• Category breakdown shows where your money goes</t>
        </is>
      </c>
    </row>
    <row r="15">
      <c r="A15" s="27" t="inlineStr">
        <is>
          <t>• Tax tip: Teachers can deduct up to $300 of unreimbursed classroom expenses</t>
        </is>
      </c>
    </row>
    <row r="16">
      <c r="A16" s="27" t="inlineStr"/>
    </row>
    <row r="17">
      <c r="A17" s="26" t="inlineStr">
        <is>
          <t>SUMMER PLANNER TAB</t>
        </is>
      </c>
    </row>
    <row r="18">
      <c r="A18" s="27" t="inlineStr">
        <is>
          <t>• Plan your summer income BEFORE school ends</t>
        </is>
      </c>
    </row>
    <row r="19">
      <c r="A19" s="27" t="inlineStr">
        <is>
          <t>• Set specific savings goals and track progress</t>
        </is>
      </c>
    </row>
    <row r="20">
      <c r="A20" s="27" t="inlineStr">
        <is>
          <t>• Common summer income: summer school, tutoring, curriculum writing, camps</t>
        </is>
      </c>
    </row>
    <row r="21">
      <c r="A21" s="27" t="inlineStr"/>
    </row>
    <row r="22">
      <c r="A22" s="26" t="inlineStr">
        <is>
          <t>SALARY COMPARISON TAB</t>
        </is>
      </c>
    </row>
    <row r="23">
      <c r="A23" s="27" t="inlineStr">
        <is>
          <t>• Compare total compensation across districts — not just base salary</t>
        </is>
      </c>
    </row>
    <row r="24">
      <c r="A24" s="27" t="inlineStr">
        <is>
          <t>• Don't forget TIA stipends — they can be $3K-$32K+ difference!</t>
        </is>
      </c>
    </row>
    <row r="25">
      <c r="A25" s="27" t="inlineStr">
        <is>
          <t>• Check if districts pay TIA differently (some spread monthly, some lump sum)</t>
        </is>
      </c>
    </row>
    <row r="26">
      <c r="A26" s="27" t="inlineStr">
        <is>
          <t>• Factor in commute costs, health insurance differences, and stipends you qualify for</t>
        </is>
      </c>
    </row>
    <row r="27">
      <c r="A27" s="27" t="inlineStr"/>
    </row>
    <row r="28">
      <c r="A28" s="26" t="inlineStr">
        <is>
          <t>TEACHER MONEY TIPS</t>
        </is>
      </c>
    </row>
    <row r="29">
      <c r="A29" s="27" t="inlineStr">
        <is>
          <t>• Explore PSLF (Public Service Loan Forgiveness) for student loans — you qualify!</t>
        </is>
      </c>
    </row>
    <row r="30">
      <c r="A30" s="27" t="inlineStr">
        <is>
          <t>• Max out your 403(b) match if your district offers one</t>
        </is>
      </c>
    </row>
    <row r="31">
      <c r="A31" s="27" t="inlineStr">
        <is>
          <t>• Track classroom spending for tax deductions ($300 educator expense deduction)</t>
        </is>
      </c>
    </row>
    <row r="32">
      <c r="A32" s="27" t="inlineStr">
        <is>
          <t>• TIA designation = the biggest raise you can give yourself</t>
        </is>
      </c>
    </row>
    <row r="33">
      <c r="A33" s="27" t="inlineStr"/>
    </row>
    <row r="34">
      <c r="A34" s="27" t="inlineStr">
        <is>
          <t>© teach4texas | For personal classroom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2026-10-20T16:14:57Z</dcterms:created>
  <dcterms:modified xsi:type="dcterms:W3CDTF">2026-10-20T16:14:57Z</dcterms:modified>
</cp:coreProperties>
</file>