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ss Roster" sheetId="2" state="visible" r:id="rId2"/>
    <sheet name="Assessment Scores" sheetId="3" state="visible" r:id="rId3"/>
    <sheet name="Growth Analysis" sheetId="4" state="visible" r:id="rId4"/>
    <sheet name="STAAR Readiness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i val="1"/>
      <color rgb="00808080"/>
      <sz val="9"/>
    </font>
    <font>
      <b val="1"/>
      <color rgb="00FFFFFF"/>
      <sz val="11"/>
    </font>
    <font>
      <b val="1"/>
      <color rgb="004472C4"/>
      <sz val="18"/>
    </font>
    <font>
      <b val="1"/>
      <color rgb="004472C4"/>
      <sz val="14"/>
    </font>
    <font>
      <b val="1"/>
      <sz val="11"/>
    </font>
    <font>
      <sz val="11"/>
    </font>
    <font>
      <b val="1"/>
      <color rgb="004472C4"/>
      <sz val="16"/>
    </font>
    <font>
      <b val="1"/>
      <color rgb="004472C4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A9D18E"/>
          <bgColor rgb="00A9D18E"/>
        </patternFill>
      </fill>
    </dxf>
    <dxf>
      <fill>
        <patternFill patternType="solid">
          <fgColor rgb="00548235"/>
          <bgColor rgb="0054823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STAAR Readiness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📊 Student Growth Tracking Template — Setup Guide</t>
        </is>
      </c>
    </row>
    <row r="3">
      <c r="A3" s="2" t="inlineStr">
        <is>
          <t>⚡ QUICK START (5 minutes!)</t>
        </is>
      </c>
    </row>
    <row r="4">
      <c r="A4" s="3" t="inlineStr">
        <is>
          <t>1. Go to the 'Class Roster' tab and enter your students' names, IDs, and subgroup tags.</t>
        </is>
      </c>
    </row>
    <row r="5">
      <c r="A5" s="3" t="inlineStr">
        <is>
          <t>2. Go to 'Assessment Scores' — names auto-populate! Just enter scores as you get them.</t>
        </is>
      </c>
    </row>
    <row r="6">
      <c r="A6" s="3" t="inlineStr">
        <is>
          <t>3. The 'Growth Analysis' tab auto-calculates everything — growth, ratings, intervention flags.</t>
        </is>
      </c>
    </row>
    <row r="7">
      <c r="A7" s="3" t="inlineStr">
        <is>
          <t>4. Use the 'STAAR Readiness' tab to track D/A/M/MA levels across assessment windows.</t>
        </is>
      </c>
    </row>
    <row r="8">
      <c r="A8" s="3" t="inlineStr">
        <is>
          <t>5. The 'Dashboard' tab gives you instant charts and stats for PLC meetings!</t>
        </is>
      </c>
    </row>
    <row r="9">
      <c r="A9" s="3" t="inlineStr"/>
    </row>
    <row r="10">
      <c r="A10" s="3" t="inlineStr">
        <is>
          <t>💡 TIPS:</t>
        </is>
      </c>
    </row>
    <row r="11">
      <c r="A11" s="3" t="inlineStr">
        <is>
          <t>• You can enter up to 35 students per class.</t>
        </is>
      </c>
    </row>
    <row r="12">
      <c r="A12" s="3" t="inlineStr">
        <is>
          <t>• Subgroup tags are comma-separated (e.g., 'ELL,At-Risk').</t>
        </is>
      </c>
    </row>
    <row r="13">
      <c r="A13" s="3" t="inlineStr">
        <is>
          <t>• Scores should be 0-100. Leave blank if no score yet.</t>
        </is>
      </c>
    </row>
    <row r="14">
      <c r="A14" s="3" t="inlineStr">
        <is>
          <t>• STAAR levels use: D (Did Not Meet), A (Approaches), M (Meets), MA (Masters).</t>
        </is>
      </c>
    </row>
    <row r="15">
      <c r="A15" s="3" t="inlineStr">
        <is>
          <t>• All formulas are protected — just enter data in the white cells!</t>
        </is>
      </c>
    </row>
    <row r="16">
      <c r="A16" s="3" t="inlineStr"/>
    </row>
    <row r="17">
      <c r="A17" s="3" t="inlineStr">
        <is>
          <t>📋 TAB OVERVIEW:</t>
        </is>
      </c>
    </row>
    <row r="18">
      <c r="A18" s="3" t="inlineStr">
        <is>
          <t>• Class Roster — Enter student info here (everything else auto-populates from this)</t>
        </is>
      </c>
    </row>
    <row r="19">
      <c r="A19" s="3" t="inlineStr">
        <is>
          <t>• Assessment Scores — Enter test scores (Pre-Test through STAAR Mocks)</t>
        </is>
      </c>
    </row>
    <row r="20">
      <c r="A20" s="3" t="inlineStr">
        <is>
          <t>• Growth Analysis — AUTO: Point growth, % growth, ratings, intervention flags</t>
        </is>
      </c>
    </row>
    <row r="21">
      <c r="A21" s="3" t="inlineStr">
        <is>
          <t>• STAAR Readiness — Track D/A/M/MA levels and see movement trends</t>
        </is>
      </c>
    </row>
    <row r="22">
      <c r="A22" s="3" t="inlineStr">
        <is>
          <t>• Dashboard — AUTO: Charts, stats, and intervention counts</t>
        </is>
      </c>
    </row>
    <row r="23">
      <c r="A23" s="3" t="inlineStr"/>
    </row>
    <row r="24">
      <c r="A24" s="3" t="inlineStr">
        <is>
          <t>❓ Questions? Message us on TPT — we respond within 24 hours!</t>
        </is>
      </c>
    </row>
    <row r="25">
      <c r="A25" s="3" t="inlineStr"/>
    </row>
    <row r="26">
      <c r="A26" s="3" t="inlineStr">
        <is>
          <t>© 2025. Licensed for single-classroom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30" customWidth="1" min="4" max="4"/>
    <col width="12" customWidth="1" min="5" max="5"/>
    <col width="35" customWidth="1" min="6" max="6"/>
  </cols>
  <sheetData>
    <row r="1">
      <c r="A1" s="4" t="inlineStr">
        <is>
          <t>Last Name</t>
        </is>
      </c>
      <c r="B1" s="4" t="inlineStr">
        <is>
          <t>First Name</t>
        </is>
      </c>
      <c r="C1" s="4" t="inlineStr">
        <is>
          <t>Student ID</t>
        </is>
      </c>
      <c r="D1" s="4" t="inlineStr">
        <is>
          <t>Subgroup Tags</t>
        </is>
      </c>
      <c r="E1" s="4" t="inlineStr">
        <is>
          <t>Grade Level</t>
        </is>
      </c>
      <c r="F1" s="4" t="inlineStr">
        <is>
          <t>Notes</t>
        </is>
      </c>
    </row>
    <row r="2">
      <c r="A2" s="5" t="inlineStr">
        <is>
          <t>Required</t>
        </is>
      </c>
      <c r="B2" s="5" t="inlineStr">
        <is>
          <t>Required</t>
        </is>
      </c>
      <c r="C2" s="5" t="inlineStr">
        <is>
          <t>Required</t>
        </is>
      </c>
      <c r="D2" s="5" t="inlineStr">
        <is>
          <t>ELL, SpEd, GT, 504, Dyslexia, At-Risk, Bilingual</t>
        </is>
      </c>
      <c r="E2" s="5" t="inlineStr">
        <is>
          <t>Optional</t>
        </is>
      </c>
      <c r="F2" s="5" t="inlineStr">
        <is>
          <t>Optional</t>
        </is>
      </c>
    </row>
    <row r="3">
      <c r="A3" s="6" t="inlineStr">
        <is>
          <t>Smith</t>
        </is>
      </c>
      <c r="B3" s="6" t="inlineStr">
        <is>
          <t>John</t>
        </is>
      </c>
      <c r="C3" s="6" t="inlineStr">
        <is>
          <t>12345</t>
        </is>
      </c>
      <c r="D3" s="7" t="inlineStr">
        <is>
          <t>ELL</t>
        </is>
      </c>
      <c r="E3" s="7" t="n">
        <v>4</v>
      </c>
      <c r="F3" s="7" t="inlineStr"/>
    </row>
    <row r="4">
      <c r="A4" s="6" t="inlineStr">
        <is>
          <t>Johnson</t>
        </is>
      </c>
      <c r="B4" s="6" t="inlineStr">
        <is>
          <t>Maria</t>
        </is>
      </c>
      <c r="C4" s="6" t="inlineStr">
        <is>
          <t>12346</t>
        </is>
      </c>
      <c r="D4" s="7" t="inlineStr">
        <is>
          <t>GT</t>
        </is>
      </c>
      <c r="E4" s="7" t="n">
        <v>4</v>
      </c>
      <c r="F4" s="7" t="inlineStr"/>
    </row>
    <row r="5">
      <c r="A5" s="6" t="inlineStr">
        <is>
          <t>Williams</t>
        </is>
      </c>
      <c r="B5" s="6" t="inlineStr">
        <is>
          <t>Carlos</t>
        </is>
      </c>
      <c r="C5" s="6" t="inlineStr">
        <is>
          <t>12347</t>
        </is>
      </c>
      <c r="D5" s="7" t="inlineStr">
        <is>
          <t>ELL,At-Risk</t>
        </is>
      </c>
      <c r="E5" s="7" t="n">
        <v>4</v>
      </c>
      <c r="F5" s="7" t="inlineStr">
        <is>
          <t>Transfer student</t>
        </is>
      </c>
    </row>
  </sheetData>
  <dataValidations count="1">
    <dataValidation sqref="D3:D37" showDropDown="0" showInputMessage="0" showErrorMessage="0" allowBlank="1" prompt="Select subgroup(s)" type="list">
      <formula1>"ELL,SpEd,GT,504,Dyslexia,At-Risk,Bilingual"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S3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2" customWidth="1" min="19" max="19"/>
  </cols>
  <sheetData>
    <row r="1">
      <c r="A1" s="4" t="inlineStr">
        <is>
          <t>Last Name</t>
        </is>
      </c>
      <c r="B1" s="4" t="inlineStr">
        <is>
          <t>First Name</t>
        </is>
      </c>
      <c r="C1" s="4" t="inlineStr">
        <is>
          <t>Student ID</t>
        </is>
      </c>
      <c r="D1" s="4" t="inlineStr">
        <is>
          <t>Pre-Test</t>
        </is>
      </c>
      <c r="E1" s="4" t="inlineStr">
        <is>
          <t>Unit 1</t>
        </is>
      </c>
      <c r="F1" s="4" t="inlineStr">
        <is>
          <t>Unit 2</t>
        </is>
      </c>
      <c r="G1" s="4" t="inlineStr">
        <is>
          <t>Unit 3</t>
        </is>
      </c>
      <c r="H1" s="4" t="inlineStr">
        <is>
          <t>Unit 4</t>
        </is>
      </c>
      <c r="I1" s="4" t="inlineStr">
        <is>
          <t>Unit 5</t>
        </is>
      </c>
      <c r="J1" s="4" t="inlineStr">
        <is>
          <t>Unit 6</t>
        </is>
      </c>
      <c r="K1" s="4" t="inlineStr">
        <is>
          <t>Unit 7</t>
        </is>
      </c>
      <c r="L1" s="4" t="inlineStr">
        <is>
          <t>Unit 8</t>
        </is>
      </c>
      <c r="M1" s="4" t="inlineStr">
        <is>
          <t>Mid-Year</t>
        </is>
      </c>
      <c r="N1" s="4" t="inlineStr">
        <is>
          <t>Post-Test</t>
        </is>
      </c>
      <c r="O1" s="4" t="inlineStr">
        <is>
          <t>STAAR Mock 1</t>
        </is>
      </c>
      <c r="P1" s="4" t="inlineStr">
        <is>
          <t>STAAR Mock 2</t>
        </is>
      </c>
      <c r="Q1" s="4" t="inlineStr">
        <is>
          <t>STAAR Mock 3</t>
        </is>
      </c>
      <c r="R1" s="4" t="inlineStr">
        <is>
          <t>Current Average</t>
        </is>
      </c>
      <c r="S1" s="4" t="inlineStr">
        <is>
          <t>Trend</t>
        </is>
      </c>
    </row>
    <row r="2">
      <c r="A2" s="5" t="inlineStr">
        <is>
          <t>(auto)</t>
        </is>
      </c>
      <c r="B2" s="5" t="inlineStr">
        <is>
          <t>(auto)</t>
        </is>
      </c>
      <c r="C2" s="5" t="inlineStr">
        <is>
          <t>(auto)</t>
        </is>
      </c>
      <c r="D2" s="5" t="inlineStr">
        <is>
          <t>0-100</t>
        </is>
      </c>
      <c r="E2" s="5" t="inlineStr">
        <is>
          <t>0-100</t>
        </is>
      </c>
      <c r="F2" s="5" t="inlineStr">
        <is>
          <t>0-100</t>
        </is>
      </c>
      <c r="G2" s="5" t="inlineStr">
        <is>
          <t>0-100</t>
        </is>
      </c>
      <c r="H2" s="5" t="inlineStr">
        <is>
          <t>0-100</t>
        </is>
      </c>
      <c r="I2" s="5" t="inlineStr">
        <is>
          <t>0-100</t>
        </is>
      </c>
      <c r="J2" s="5" t="inlineStr">
        <is>
          <t>0-100</t>
        </is>
      </c>
      <c r="K2" s="5" t="inlineStr">
        <is>
          <t>0-100</t>
        </is>
      </c>
      <c r="L2" s="5" t="inlineStr">
        <is>
          <t>0-100</t>
        </is>
      </c>
      <c r="M2" s="5" t="inlineStr">
        <is>
          <t>0-100</t>
        </is>
      </c>
      <c r="N2" s="5" t="inlineStr">
        <is>
          <t>0-100</t>
        </is>
      </c>
      <c r="O2" s="5" t="inlineStr">
        <is>
          <t>0-100</t>
        </is>
      </c>
      <c r="P2" s="5" t="inlineStr">
        <is>
          <t>0-100</t>
        </is>
      </c>
      <c r="Q2" s="5" t="inlineStr">
        <is>
          <t>0-100</t>
        </is>
      </c>
      <c r="R2" s="5" t="inlineStr">
        <is>
          <t>(auto)</t>
        </is>
      </c>
      <c r="S2" s="5" t="inlineStr">
        <is>
          <t>(auto)</t>
        </is>
      </c>
    </row>
    <row r="3">
      <c r="A3" s="6">
        <f>'Class Roster'!A3</f>
        <v/>
      </c>
      <c r="B3" s="6">
        <f>'Class Roster'!B3</f>
        <v/>
      </c>
      <c r="C3" s="6">
        <f>'Class Roster'!C3</f>
        <v/>
      </c>
      <c r="D3" s="7" t="n">
        <v>45</v>
      </c>
      <c r="E3" s="7" t="n">
        <v>52</v>
      </c>
      <c r="F3" s="7" t="n">
        <v>58</v>
      </c>
      <c r="G3" s="7" t="n">
        <v>60</v>
      </c>
      <c r="H3" s="7" t="n">
        <v>63</v>
      </c>
      <c r="I3" s="7" t="n">
        <v>55</v>
      </c>
      <c r="J3" s="7" t="n">
        <v>62</v>
      </c>
      <c r="K3" s="7" t="n">
        <v>68</v>
      </c>
      <c r="L3" s="7" t="n">
        <v>70</v>
      </c>
      <c r="M3" s="7" t="n">
        <v>65</v>
      </c>
      <c r="N3" s="7" t="n">
        <v>72</v>
      </c>
      <c r="O3" s="7" t="n">
        <v>55</v>
      </c>
      <c r="P3" s="7" t="n">
        <v>60</v>
      </c>
      <c r="Q3" s="7" t="n">
        <v>65</v>
      </c>
      <c r="R3" s="7">
        <f>IFERROR(AVERAGE(D3:Q3),"")</f>
        <v/>
      </c>
      <c r="S3" s="7">
        <f>IF(AND(D3&lt;&gt;"",N3&lt;&gt;""),IF(N3&gt;D3,"↑ Rising",IF(N3&lt;D3,"↓ Falling","→ Flat")),"")</f>
        <v/>
      </c>
    </row>
    <row r="4">
      <c r="A4" s="6">
        <f>'Class Roster'!A4</f>
        <v/>
      </c>
      <c r="B4" s="6">
        <f>'Class Roster'!B4</f>
        <v/>
      </c>
      <c r="C4" s="6">
        <f>'Class Roster'!C4</f>
        <v/>
      </c>
      <c r="D4" s="7" t="n">
        <v>82</v>
      </c>
      <c r="E4" s="7" t="n">
        <v>85</v>
      </c>
      <c r="F4" s="7" t="n">
        <v>88</v>
      </c>
      <c r="G4" s="7" t="n">
        <v>90</v>
      </c>
      <c r="H4" s="7" t="n">
        <v>87</v>
      </c>
      <c r="I4" s="7" t="n">
        <v>92</v>
      </c>
      <c r="J4" s="7" t="n">
        <v>89</v>
      </c>
      <c r="K4" s="7" t="n">
        <v>91</v>
      </c>
      <c r="L4" s="7" t="n">
        <v>93</v>
      </c>
      <c r="M4" s="7" t="n">
        <v>88</v>
      </c>
      <c r="N4" s="7" t="n">
        <v>95</v>
      </c>
      <c r="O4" s="7" t="n">
        <v>87</v>
      </c>
      <c r="P4" s="7" t="n">
        <v>90</v>
      </c>
      <c r="Q4" s="7" t="n">
        <v>92</v>
      </c>
      <c r="R4" s="7">
        <f>IFERROR(AVERAGE(D4:Q4),"")</f>
        <v/>
      </c>
      <c r="S4" s="7">
        <f>IF(AND(D4&lt;&gt;"",N4&lt;&gt;""),IF(N4&gt;D4,"↑ Rising",IF(N4&lt;D4,"↓ Falling","→ Flat")),"")</f>
        <v/>
      </c>
    </row>
    <row r="5">
      <c r="A5" s="6">
        <f>'Class Roster'!A5</f>
        <v/>
      </c>
      <c r="B5" s="6">
        <f>'Class Roster'!B5</f>
        <v/>
      </c>
      <c r="C5" s="6">
        <f>'Class Roster'!C5</f>
        <v/>
      </c>
      <c r="D5" s="7" t="n">
        <v>38</v>
      </c>
      <c r="E5" s="7" t="n">
        <v>42</v>
      </c>
      <c r="F5" s="7" t="n">
        <v>45</v>
      </c>
      <c r="G5" s="7" t="n">
        <v>48</v>
      </c>
      <c r="H5" s="7" t="n">
        <v>44</v>
      </c>
      <c r="I5" s="7" t="n">
        <v>40</v>
      </c>
      <c r="J5" s="7" t="n">
        <v>47</v>
      </c>
      <c r="K5" s="7" t="n">
        <v>50</v>
      </c>
      <c r="L5" s="7" t="n">
        <v>52</v>
      </c>
      <c r="M5" s="7" t="n">
        <v>45</v>
      </c>
      <c r="N5" s="7" t="n">
        <v>48</v>
      </c>
      <c r="O5" s="7" t="n">
        <v>43</v>
      </c>
      <c r="P5" s="7" t="n">
        <v>46</v>
      </c>
      <c r="Q5" s="7" t="n">
        <v>50</v>
      </c>
      <c r="R5" s="7">
        <f>IFERROR(AVERAGE(D5:Q5),"")</f>
        <v/>
      </c>
      <c r="S5" s="7">
        <f>IF(AND(D5&lt;&gt;"",N5&lt;&gt;""),IF(N5&gt;D5,"↑ Rising",IF(N5&lt;D5,"↓ Falling","→ Flat")),"")</f>
        <v/>
      </c>
    </row>
    <row r="6">
      <c r="A6">
        <f>'Class Roster'!A6</f>
        <v/>
      </c>
      <c r="B6">
        <f>'Class Roster'!B6</f>
        <v/>
      </c>
      <c r="C6">
        <f>'Class Roster'!C6</f>
        <v/>
      </c>
      <c r="R6">
        <f>IFERROR(AVERAGE(D6:Q6),"")</f>
        <v/>
      </c>
      <c r="S6">
        <f>IF(AND(D6&lt;&gt;"",N6&lt;&gt;""),IF(N6&gt;D6,"↑ Rising",IF(N6&lt;D6,"↓ Falling","→ Flat")),"")</f>
        <v/>
      </c>
    </row>
    <row r="7">
      <c r="A7">
        <f>'Class Roster'!A7</f>
        <v/>
      </c>
      <c r="B7">
        <f>'Class Roster'!B7</f>
        <v/>
      </c>
      <c r="C7">
        <f>'Class Roster'!C7</f>
        <v/>
      </c>
      <c r="R7">
        <f>IFERROR(AVERAGE(D7:Q7),"")</f>
        <v/>
      </c>
      <c r="S7">
        <f>IF(AND(D7&lt;&gt;"",N7&lt;&gt;""),IF(N7&gt;D7,"↑ Rising",IF(N7&lt;D7,"↓ Falling","→ Flat")),"")</f>
        <v/>
      </c>
    </row>
    <row r="8">
      <c r="A8">
        <f>'Class Roster'!A8</f>
        <v/>
      </c>
      <c r="B8">
        <f>'Class Roster'!B8</f>
        <v/>
      </c>
      <c r="C8">
        <f>'Class Roster'!C8</f>
        <v/>
      </c>
      <c r="R8">
        <f>IFERROR(AVERAGE(D8:Q8),"")</f>
        <v/>
      </c>
      <c r="S8">
        <f>IF(AND(D8&lt;&gt;"",N8&lt;&gt;""),IF(N8&gt;D8,"↑ Rising",IF(N8&lt;D8,"↓ Falling","→ Flat")),"")</f>
        <v/>
      </c>
    </row>
    <row r="9">
      <c r="A9">
        <f>'Class Roster'!A9</f>
        <v/>
      </c>
      <c r="B9">
        <f>'Class Roster'!B9</f>
        <v/>
      </c>
      <c r="C9">
        <f>'Class Roster'!C9</f>
        <v/>
      </c>
      <c r="R9">
        <f>IFERROR(AVERAGE(D9:Q9),"")</f>
        <v/>
      </c>
      <c r="S9">
        <f>IF(AND(D9&lt;&gt;"",N9&lt;&gt;""),IF(N9&gt;D9,"↑ Rising",IF(N9&lt;D9,"↓ Falling","→ Flat")),"")</f>
        <v/>
      </c>
    </row>
    <row r="10">
      <c r="A10">
        <f>'Class Roster'!A10</f>
        <v/>
      </c>
      <c r="B10">
        <f>'Class Roster'!B10</f>
        <v/>
      </c>
      <c r="C10">
        <f>'Class Roster'!C10</f>
        <v/>
      </c>
      <c r="R10">
        <f>IFERROR(AVERAGE(D10:Q10),"")</f>
        <v/>
      </c>
      <c r="S10">
        <f>IF(AND(D10&lt;&gt;"",N10&lt;&gt;""),IF(N10&gt;D10,"↑ Rising",IF(N10&lt;D10,"↓ Falling","→ Flat")),"")</f>
        <v/>
      </c>
    </row>
    <row r="11">
      <c r="A11">
        <f>'Class Roster'!A11</f>
        <v/>
      </c>
      <c r="B11">
        <f>'Class Roster'!B11</f>
        <v/>
      </c>
      <c r="C11">
        <f>'Class Roster'!C11</f>
        <v/>
      </c>
      <c r="R11">
        <f>IFERROR(AVERAGE(D11:Q11),"")</f>
        <v/>
      </c>
      <c r="S11">
        <f>IF(AND(D11&lt;&gt;"",N11&lt;&gt;""),IF(N11&gt;D11,"↑ Rising",IF(N11&lt;D11,"↓ Falling","→ Flat")),"")</f>
        <v/>
      </c>
    </row>
    <row r="12">
      <c r="A12">
        <f>'Class Roster'!A12</f>
        <v/>
      </c>
      <c r="B12">
        <f>'Class Roster'!B12</f>
        <v/>
      </c>
      <c r="C12">
        <f>'Class Roster'!C12</f>
        <v/>
      </c>
      <c r="R12">
        <f>IFERROR(AVERAGE(D12:Q12),"")</f>
        <v/>
      </c>
      <c r="S12">
        <f>IF(AND(D12&lt;&gt;"",N12&lt;&gt;""),IF(N12&gt;D12,"↑ Rising",IF(N12&lt;D12,"↓ Falling","→ Flat")),"")</f>
        <v/>
      </c>
    </row>
    <row r="13">
      <c r="A13">
        <f>'Class Roster'!A13</f>
        <v/>
      </c>
      <c r="B13">
        <f>'Class Roster'!B13</f>
        <v/>
      </c>
      <c r="C13">
        <f>'Class Roster'!C13</f>
        <v/>
      </c>
      <c r="R13">
        <f>IFERROR(AVERAGE(D13:Q13),"")</f>
        <v/>
      </c>
      <c r="S13">
        <f>IF(AND(D13&lt;&gt;"",N13&lt;&gt;""),IF(N13&gt;D13,"↑ Rising",IF(N13&lt;D13,"↓ Falling","→ Flat")),"")</f>
        <v/>
      </c>
    </row>
    <row r="14">
      <c r="A14">
        <f>'Class Roster'!A14</f>
        <v/>
      </c>
      <c r="B14">
        <f>'Class Roster'!B14</f>
        <v/>
      </c>
      <c r="C14">
        <f>'Class Roster'!C14</f>
        <v/>
      </c>
      <c r="R14">
        <f>IFERROR(AVERAGE(D14:Q14),"")</f>
        <v/>
      </c>
      <c r="S14">
        <f>IF(AND(D14&lt;&gt;"",N14&lt;&gt;""),IF(N14&gt;D14,"↑ Rising",IF(N14&lt;D14,"↓ Falling","→ Flat")),"")</f>
        <v/>
      </c>
    </row>
    <row r="15">
      <c r="A15">
        <f>'Class Roster'!A15</f>
        <v/>
      </c>
      <c r="B15">
        <f>'Class Roster'!B15</f>
        <v/>
      </c>
      <c r="C15">
        <f>'Class Roster'!C15</f>
        <v/>
      </c>
      <c r="R15">
        <f>IFERROR(AVERAGE(D15:Q15),"")</f>
        <v/>
      </c>
      <c r="S15">
        <f>IF(AND(D15&lt;&gt;"",N15&lt;&gt;""),IF(N15&gt;D15,"↑ Rising",IF(N15&lt;D15,"↓ Falling","→ Flat")),"")</f>
        <v/>
      </c>
    </row>
    <row r="16">
      <c r="A16">
        <f>'Class Roster'!A16</f>
        <v/>
      </c>
      <c r="B16">
        <f>'Class Roster'!B16</f>
        <v/>
      </c>
      <c r="C16">
        <f>'Class Roster'!C16</f>
        <v/>
      </c>
      <c r="R16">
        <f>IFERROR(AVERAGE(D16:Q16),"")</f>
        <v/>
      </c>
      <c r="S16">
        <f>IF(AND(D16&lt;&gt;"",N16&lt;&gt;""),IF(N16&gt;D16,"↑ Rising",IF(N16&lt;D16,"↓ Falling","→ Flat")),"")</f>
        <v/>
      </c>
    </row>
    <row r="17">
      <c r="A17">
        <f>'Class Roster'!A17</f>
        <v/>
      </c>
      <c r="B17">
        <f>'Class Roster'!B17</f>
        <v/>
      </c>
      <c r="C17">
        <f>'Class Roster'!C17</f>
        <v/>
      </c>
      <c r="R17">
        <f>IFERROR(AVERAGE(D17:Q17),"")</f>
        <v/>
      </c>
      <c r="S17">
        <f>IF(AND(D17&lt;&gt;"",N17&lt;&gt;""),IF(N17&gt;D17,"↑ Rising",IF(N17&lt;D17,"↓ Falling","→ Flat")),"")</f>
        <v/>
      </c>
    </row>
    <row r="18">
      <c r="A18">
        <f>'Class Roster'!A18</f>
        <v/>
      </c>
      <c r="B18">
        <f>'Class Roster'!B18</f>
        <v/>
      </c>
      <c r="C18">
        <f>'Class Roster'!C18</f>
        <v/>
      </c>
      <c r="R18">
        <f>IFERROR(AVERAGE(D18:Q18),"")</f>
        <v/>
      </c>
      <c r="S18">
        <f>IF(AND(D18&lt;&gt;"",N18&lt;&gt;""),IF(N18&gt;D18,"↑ Rising",IF(N18&lt;D18,"↓ Falling","→ Flat")),"")</f>
        <v/>
      </c>
    </row>
    <row r="19">
      <c r="A19">
        <f>'Class Roster'!A19</f>
        <v/>
      </c>
      <c r="B19">
        <f>'Class Roster'!B19</f>
        <v/>
      </c>
      <c r="C19">
        <f>'Class Roster'!C19</f>
        <v/>
      </c>
      <c r="R19">
        <f>IFERROR(AVERAGE(D19:Q19),"")</f>
        <v/>
      </c>
      <c r="S19">
        <f>IF(AND(D19&lt;&gt;"",N19&lt;&gt;""),IF(N19&gt;D19,"↑ Rising",IF(N19&lt;D19,"↓ Falling","→ Flat")),"")</f>
        <v/>
      </c>
    </row>
    <row r="20">
      <c r="A20">
        <f>'Class Roster'!A20</f>
        <v/>
      </c>
      <c r="B20">
        <f>'Class Roster'!B20</f>
        <v/>
      </c>
      <c r="C20">
        <f>'Class Roster'!C20</f>
        <v/>
      </c>
      <c r="R20">
        <f>IFERROR(AVERAGE(D20:Q20),"")</f>
        <v/>
      </c>
      <c r="S20">
        <f>IF(AND(D20&lt;&gt;"",N20&lt;&gt;""),IF(N20&gt;D20,"↑ Rising",IF(N20&lt;D20,"↓ Falling","→ Flat")),"")</f>
        <v/>
      </c>
    </row>
    <row r="21">
      <c r="A21">
        <f>'Class Roster'!A21</f>
        <v/>
      </c>
      <c r="B21">
        <f>'Class Roster'!B21</f>
        <v/>
      </c>
      <c r="C21">
        <f>'Class Roster'!C21</f>
        <v/>
      </c>
      <c r="R21">
        <f>IFERROR(AVERAGE(D21:Q21),"")</f>
        <v/>
      </c>
      <c r="S21">
        <f>IF(AND(D21&lt;&gt;"",N21&lt;&gt;""),IF(N21&gt;D21,"↑ Rising",IF(N21&lt;D21,"↓ Falling","→ Flat")),"")</f>
        <v/>
      </c>
    </row>
    <row r="22">
      <c r="A22">
        <f>'Class Roster'!A22</f>
        <v/>
      </c>
      <c r="B22">
        <f>'Class Roster'!B22</f>
        <v/>
      </c>
      <c r="C22">
        <f>'Class Roster'!C22</f>
        <v/>
      </c>
      <c r="R22">
        <f>IFERROR(AVERAGE(D22:Q22),"")</f>
        <v/>
      </c>
      <c r="S22">
        <f>IF(AND(D22&lt;&gt;"",N22&lt;&gt;""),IF(N22&gt;D22,"↑ Rising",IF(N22&lt;D22,"↓ Falling","→ Flat")),"")</f>
        <v/>
      </c>
    </row>
    <row r="23">
      <c r="A23">
        <f>'Class Roster'!A23</f>
        <v/>
      </c>
      <c r="B23">
        <f>'Class Roster'!B23</f>
        <v/>
      </c>
      <c r="C23">
        <f>'Class Roster'!C23</f>
        <v/>
      </c>
      <c r="R23">
        <f>IFERROR(AVERAGE(D23:Q23),"")</f>
        <v/>
      </c>
      <c r="S23">
        <f>IF(AND(D23&lt;&gt;"",N23&lt;&gt;""),IF(N23&gt;D23,"↑ Rising",IF(N23&lt;D23,"↓ Falling","→ Flat")),"")</f>
        <v/>
      </c>
    </row>
    <row r="24">
      <c r="A24">
        <f>'Class Roster'!A24</f>
        <v/>
      </c>
      <c r="B24">
        <f>'Class Roster'!B24</f>
        <v/>
      </c>
      <c r="C24">
        <f>'Class Roster'!C24</f>
        <v/>
      </c>
      <c r="R24">
        <f>IFERROR(AVERAGE(D24:Q24),"")</f>
        <v/>
      </c>
      <c r="S24">
        <f>IF(AND(D24&lt;&gt;"",N24&lt;&gt;""),IF(N24&gt;D24,"↑ Rising",IF(N24&lt;D24,"↓ Falling","→ Flat")),"")</f>
        <v/>
      </c>
    </row>
    <row r="25">
      <c r="A25">
        <f>'Class Roster'!A25</f>
        <v/>
      </c>
      <c r="B25">
        <f>'Class Roster'!B25</f>
        <v/>
      </c>
      <c r="C25">
        <f>'Class Roster'!C25</f>
        <v/>
      </c>
      <c r="R25">
        <f>IFERROR(AVERAGE(D25:Q25),"")</f>
        <v/>
      </c>
      <c r="S25">
        <f>IF(AND(D25&lt;&gt;"",N25&lt;&gt;""),IF(N25&gt;D25,"↑ Rising",IF(N25&lt;D25,"↓ Falling","→ Flat")),"")</f>
        <v/>
      </c>
    </row>
    <row r="26">
      <c r="A26">
        <f>'Class Roster'!A26</f>
        <v/>
      </c>
      <c r="B26">
        <f>'Class Roster'!B26</f>
        <v/>
      </c>
      <c r="C26">
        <f>'Class Roster'!C26</f>
        <v/>
      </c>
      <c r="R26">
        <f>IFERROR(AVERAGE(D26:Q26),"")</f>
        <v/>
      </c>
      <c r="S26">
        <f>IF(AND(D26&lt;&gt;"",N26&lt;&gt;""),IF(N26&gt;D26,"↑ Rising",IF(N26&lt;D26,"↓ Falling","→ Flat")),"")</f>
        <v/>
      </c>
    </row>
    <row r="27">
      <c r="A27">
        <f>'Class Roster'!A27</f>
        <v/>
      </c>
      <c r="B27">
        <f>'Class Roster'!B27</f>
        <v/>
      </c>
      <c r="C27">
        <f>'Class Roster'!C27</f>
        <v/>
      </c>
      <c r="R27">
        <f>IFERROR(AVERAGE(D27:Q27),"")</f>
        <v/>
      </c>
      <c r="S27">
        <f>IF(AND(D27&lt;&gt;"",N27&lt;&gt;""),IF(N27&gt;D27,"↑ Rising",IF(N27&lt;D27,"↓ Falling","→ Flat")),"")</f>
        <v/>
      </c>
    </row>
    <row r="28">
      <c r="A28">
        <f>'Class Roster'!A28</f>
        <v/>
      </c>
      <c r="B28">
        <f>'Class Roster'!B28</f>
        <v/>
      </c>
      <c r="C28">
        <f>'Class Roster'!C28</f>
        <v/>
      </c>
      <c r="R28">
        <f>IFERROR(AVERAGE(D28:Q28),"")</f>
        <v/>
      </c>
      <c r="S28">
        <f>IF(AND(D28&lt;&gt;"",N28&lt;&gt;""),IF(N28&gt;D28,"↑ Rising",IF(N28&lt;D28,"↓ Falling","→ Flat")),"")</f>
        <v/>
      </c>
    </row>
    <row r="29">
      <c r="A29">
        <f>'Class Roster'!A29</f>
        <v/>
      </c>
      <c r="B29">
        <f>'Class Roster'!B29</f>
        <v/>
      </c>
      <c r="C29">
        <f>'Class Roster'!C29</f>
        <v/>
      </c>
      <c r="R29">
        <f>IFERROR(AVERAGE(D29:Q29),"")</f>
        <v/>
      </c>
      <c r="S29">
        <f>IF(AND(D29&lt;&gt;"",N29&lt;&gt;""),IF(N29&gt;D29,"↑ Rising",IF(N29&lt;D29,"↓ Falling","→ Flat")),"")</f>
        <v/>
      </c>
    </row>
    <row r="30">
      <c r="A30">
        <f>'Class Roster'!A30</f>
        <v/>
      </c>
      <c r="B30">
        <f>'Class Roster'!B30</f>
        <v/>
      </c>
      <c r="C30">
        <f>'Class Roster'!C30</f>
        <v/>
      </c>
      <c r="R30">
        <f>IFERROR(AVERAGE(D30:Q30),"")</f>
        <v/>
      </c>
      <c r="S30">
        <f>IF(AND(D30&lt;&gt;"",N30&lt;&gt;""),IF(N30&gt;D30,"↑ Rising",IF(N30&lt;D30,"↓ Falling","→ Flat")),"")</f>
        <v/>
      </c>
    </row>
    <row r="31">
      <c r="A31">
        <f>'Class Roster'!A31</f>
        <v/>
      </c>
      <c r="B31">
        <f>'Class Roster'!B31</f>
        <v/>
      </c>
      <c r="C31">
        <f>'Class Roster'!C31</f>
        <v/>
      </c>
      <c r="R31">
        <f>IFERROR(AVERAGE(D31:Q31),"")</f>
        <v/>
      </c>
      <c r="S31">
        <f>IF(AND(D31&lt;&gt;"",N31&lt;&gt;""),IF(N31&gt;D31,"↑ Rising",IF(N31&lt;D31,"↓ Falling","→ Flat")),"")</f>
        <v/>
      </c>
    </row>
    <row r="32">
      <c r="A32">
        <f>'Class Roster'!A32</f>
        <v/>
      </c>
      <c r="B32">
        <f>'Class Roster'!B32</f>
        <v/>
      </c>
      <c r="C32">
        <f>'Class Roster'!C32</f>
        <v/>
      </c>
      <c r="R32">
        <f>IFERROR(AVERAGE(D32:Q32),"")</f>
        <v/>
      </c>
      <c r="S32">
        <f>IF(AND(D32&lt;&gt;"",N32&lt;&gt;""),IF(N32&gt;D32,"↑ Rising",IF(N32&lt;D32,"↓ Falling","→ Flat")),"")</f>
        <v/>
      </c>
    </row>
    <row r="33">
      <c r="A33">
        <f>'Class Roster'!A33</f>
        <v/>
      </c>
      <c r="B33">
        <f>'Class Roster'!B33</f>
        <v/>
      </c>
      <c r="C33">
        <f>'Class Roster'!C33</f>
        <v/>
      </c>
      <c r="R33">
        <f>IFERROR(AVERAGE(D33:Q33),"")</f>
        <v/>
      </c>
      <c r="S33">
        <f>IF(AND(D33&lt;&gt;"",N33&lt;&gt;""),IF(N33&gt;D33,"↑ Rising",IF(N33&lt;D33,"↓ Falling","→ Flat")),"")</f>
        <v/>
      </c>
    </row>
    <row r="34">
      <c r="A34">
        <f>'Class Roster'!A34</f>
        <v/>
      </c>
      <c r="B34">
        <f>'Class Roster'!B34</f>
        <v/>
      </c>
      <c r="C34">
        <f>'Class Roster'!C34</f>
        <v/>
      </c>
      <c r="R34">
        <f>IFERROR(AVERAGE(D34:Q34),"")</f>
        <v/>
      </c>
      <c r="S34">
        <f>IF(AND(D34&lt;&gt;"",N34&lt;&gt;""),IF(N34&gt;D34,"↑ Rising",IF(N34&lt;D34,"↓ Falling","→ Flat")),"")</f>
        <v/>
      </c>
    </row>
    <row r="35">
      <c r="A35">
        <f>'Class Roster'!A35</f>
        <v/>
      </c>
      <c r="B35">
        <f>'Class Roster'!B35</f>
        <v/>
      </c>
      <c r="C35">
        <f>'Class Roster'!C35</f>
        <v/>
      </c>
      <c r="R35">
        <f>IFERROR(AVERAGE(D35:Q35),"")</f>
        <v/>
      </c>
      <c r="S35">
        <f>IF(AND(D35&lt;&gt;"",N35&lt;&gt;""),IF(N35&gt;D35,"↑ Rising",IF(N35&lt;D35,"↓ Falling","→ Flat")),"")</f>
        <v/>
      </c>
    </row>
    <row r="36">
      <c r="A36">
        <f>'Class Roster'!A36</f>
        <v/>
      </c>
      <c r="B36">
        <f>'Class Roster'!B36</f>
        <v/>
      </c>
      <c r="C36">
        <f>'Class Roster'!C36</f>
        <v/>
      </c>
      <c r="R36">
        <f>IFERROR(AVERAGE(D36:Q36),"")</f>
        <v/>
      </c>
      <c r="S36">
        <f>IF(AND(D36&lt;&gt;"",N36&lt;&gt;""),IF(N36&gt;D36,"↑ Rising",IF(N36&lt;D36,"↓ Falling","→ Flat")),"")</f>
        <v/>
      </c>
    </row>
    <row r="37">
      <c r="A37">
        <f>'Class Roster'!A37</f>
        <v/>
      </c>
      <c r="B37">
        <f>'Class Roster'!B37</f>
        <v/>
      </c>
      <c r="C37">
        <f>'Class Roster'!C37</f>
        <v/>
      </c>
      <c r="R37">
        <f>IFERROR(AVERAGE(D37:Q37),"")</f>
        <v/>
      </c>
      <c r="S37">
        <f>IF(AND(D37&lt;&gt;"",N37&lt;&gt;""),IF(N37&gt;D37,"↑ Rising",IF(N37&lt;D37,"↓ Falling","→ Flat")),"")</f>
        <v/>
      </c>
    </row>
  </sheetData>
  <conditionalFormatting sqref="D3:Q37">
    <cfRule type="cellIs" priority="1" operator="lessThan" dxfId="0">
      <formula>50</formula>
    </cfRule>
    <cfRule type="cellIs" priority="2" operator="between" dxfId="1">
      <formula>50</formula>
      <formula>69</formula>
    </cfRule>
    <cfRule type="cellIs" priority="3" operator="between" dxfId="2">
      <formula>70</formula>
      <formula>84</formula>
    </cfRule>
    <cfRule type="cellIs" priority="4" operator="between" dxfId="3">
      <formula>85</formula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B57"/>
    <outlinePr summaryBelow="1" summaryRight="1"/>
    <pageSetUpPr/>
  </sheetPr>
  <dimension ref="A1:L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14" customWidth="1" min="9" max="9"/>
    <col width="14" customWidth="1" min="10" max="10"/>
    <col width="16" customWidth="1" min="11" max="11"/>
    <col width="22" customWidth="1" min="12" max="12"/>
  </cols>
  <sheetData>
    <row r="1">
      <c r="A1" s="4" t="inlineStr">
        <is>
          <t>Last Name</t>
        </is>
      </c>
      <c r="B1" s="4" t="inlineStr">
        <is>
          <t>First Name</t>
        </is>
      </c>
      <c r="C1" s="4" t="inlineStr">
        <is>
          <t>Subgroup</t>
        </is>
      </c>
      <c r="D1" s="4" t="inlineStr">
        <is>
          <t>Pre-Test Score</t>
        </is>
      </c>
      <c r="E1" s="4" t="inlineStr">
        <is>
          <t>Most Recent Score</t>
        </is>
      </c>
      <c r="F1" s="4" t="inlineStr">
        <is>
          <t>Point Growth</t>
        </is>
      </c>
      <c r="G1" s="4" t="inlineStr">
        <is>
          <t>% Growth</t>
        </is>
      </c>
      <c r="H1" s="4" t="inlineStr">
        <is>
          <t>Growth Rating</t>
        </is>
      </c>
      <c r="I1" s="4" t="inlineStr">
        <is>
          <t>Pre→Mid Growth</t>
        </is>
      </c>
      <c r="J1" s="4" t="inlineStr">
        <is>
          <t>Mid→Post Growth</t>
        </is>
      </c>
      <c r="K1" s="4" t="inlineStr">
        <is>
          <t>STAAR Mock Trend</t>
        </is>
      </c>
      <c r="L1" s="4" t="inlineStr">
        <is>
          <t>Intervention Flag</t>
        </is>
      </c>
    </row>
    <row r="3">
      <c r="A3">
        <f>'Class Roster'!A3</f>
        <v/>
      </c>
      <c r="B3">
        <f>'Class Roster'!B3</f>
        <v/>
      </c>
      <c r="C3">
        <f>'Class Roster'!D3</f>
        <v/>
      </c>
      <c r="D3">
        <f>'Assessment Scores'!D3</f>
        <v/>
      </c>
      <c r="E3">
        <f>'Assessment Scores'!R3</f>
        <v/>
      </c>
      <c r="F3">
        <f>IFERROR(E3-D3,"")</f>
        <v/>
      </c>
      <c r="G3">
        <f>IFERROR(IF(D3=0,"",(E3-D3)/D3*100),"")</f>
        <v/>
      </c>
      <c r="H3">
        <f>IF(G3="","",IF(G3&lt;10,"🔴 Low Growth",IF(G3&lt;20,"🟡 Moderate","🟢 Strong Growth")))</f>
        <v/>
      </c>
      <c r="I3">
        <f>IFERROR('Assessment Scores'!M3-'Assessment Scores'!D3,"")</f>
        <v/>
      </c>
      <c r="J3">
        <f>IFERROR('Assessment Scores'!N3-'Assessment Scores'!M3,"")</f>
        <v/>
      </c>
      <c r="K3">
        <f>IF(AND('Assessment Scores'!O3&lt;&gt;"",""&lt;&gt;'Assessment Scores'!P3),IF('Assessment Scores'!P3&gt;'Assessment Scores'!O3,"↑","↓"),"")</f>
        <v/>
      </c>
      <c r="L3">
        <f>IF(OR(G3&lt;10,E3&lt;50),"⚠️ NEEDS INTERVENTION","")</f>
        <v/>
      </c>
    </row>
    <row r="4">
      <c r="A4">
        <f>'Class Roster'!A4</f>
        <v/>
      </c>
      <c r="B4">
        <f>'Class Roster'!B4</f>
        <v/>
      </c>
      <c r="C4">
        <f>'Class Roster'!D4</f>
        <v/>
      </c>
      <c r="D4">
        <f>'Assessment Scores'!D4</f>
        <v/>
      </c>
      <c r="E4">
        <f>'Assessment Scores'!R4</f>
        <v/>
      </c>
      <c r="F4">
        <f>IFERROR(E4-D4,"")</f>
        <v/>
      </c>
      <c r="G4">
        <f>IFERROR(IF(D4=0,"",(E4-D4)/D4*100),"")</f>
        <v/>
      </c>
      <c r="H4">
        <f>IF(G4="","",IF(G4&lt;10,"🔴 Low Growth",IF(G4&lt;20,"🟡 Moderate","🟢 Strong Growth")))</f>
        <v/>
      </c>
      <c r="I4">
        <f>IFERROR('Assessment Scores'!M4-'Assessment Scores'!D4,"")</f>
        <v/>
      </c>
      <c r="J4">
        <f>IFERROR('Assessment Scores'!N4-'Assessment Scores'!M4,"")</f>
        <v/>
      </c>
      <c r="K4">
        <f>IF(AND('Assessment Scores'!O4&lt;&gt;"",""&lt;&gt;'Assessment Scores'!P4),IF('Assessment Scores'!P4&gt;'Assessment Scores'!O4,"↑","↓"),"")</f>
        <v/>
      </c>
      <c r="L4">
        <f>IF(OR(G4&lt;10,E4&lt;50),"⚠️ NEEDS INTERVENTION","")</f>
        <v/>
      </c>
    </row>
    <row r="5">
      <c r="A5">
        <f>'Class Roster'!A5</f>
        <v/>
      </c>
      <c r="B5">
        <f>'Class Roster'!B5</f>
        <v/>
      </c>
      <c r="C5">
        <f>'Class Roster'!D5</f>
        <v/>
      </c>
      <c r="D5">
        <f>'Assessment Scores'!D5</f>
        <v/>
      </c>
      <c r="E5">
        <f>'Assessment Scores'!R5</f>
        <v/>
      </c>
      <c r="F5">
        <f>IFERROR(E5-D5,"")</f>
        <v/>
      </c>
      <c r="G5">
        <f>IFERROR(IF(D5=0,"",(E5-D5)/D5*100),"")</f>
        <v/>
      </c>
      <c r="H5">
        <f>IF(G5="","",IF(G5&lt;10,"🔴 Low Growth",IF(G5&lt;20,"🟡 Moderate","🟢 Strong Growth")))</f>
        <v/>
      </c>
      <c r="I5">
        <f>IFERROR('Assessment Scores'!M5-'Assessment Scores'!D5,"")</f>
        <v/>
      </c>
      <c r="J5">
        <f>IFERROR('Assessment Scores'!N5-'Assessment Scores'!M5,"")</f>
        <v/>
      </c>
      <c r="K5">
        <f>IF(AND('Assessment Scores'!O5&lt;&gt;"",""&lt;&gt;'Assessment Scores'!P5),IF('Assessment Scores'!P5&gt;'Assessment Scores'!O5,"↑","↓"),"")</f>
        <v/>
      </c>
      <c r="L5">
        <f>IF(OR(G5&lt;10,E5&lt;50),"⚠️ NEEDS INTERVENTION","")</f>
        <v/>
      </c>
    </row>
    <row r="6">
      <c r="A6">
        <f>'Class Roster'!A6</f>
        <v/>
      </c>
      <c r="B6">
        <f>'Class Roster'!B6</f>
        <v/>
      </c>
      <c r="C6">
        <f>'Class Roster'!D6</f>
        <v/>
      </c>
      <c r="D6">
        <f>'Assessment Scores'!D6</f>
        <v/>
      </c>
      <c r="E6">
        <f>'Assessment Scores'!R6</f>
        <v/>
      </c>
      <c r="F6">
        <f>IFERROR(E6-D6,"")</f>
        <v/>
      </c>
      <c r="G6">
        <f>IFERROR(IF(D6=0,"",(E6-D6)/D6*100),"")</f>
        <v/>
      </c>
      <c r="H6">
        <f>IF(G6="","",IF(G6&lt;10,"🔴 Low Growth",IF(G6&lt;20,"🟡 Moderate","🟢 Strong Growth")))</f>
        <v/>
      </c>
      <c r="I6">
        <f>IFERROR('Assessment Scores'!M6-'Assessment Scores'!D6,"")</f>
        <v/>
      </c>
      <c r="J6">
        <f>IFERROR('Assessment Scores'!N6-'Assessment Scores'!M6,"")</f>
        <v/>
      </c>
      <c r="K6">
        <f>IF(AND('Assessment Scores'!O6&lt;&gt;"",""&lt;&gt;'Assessment Scores'!P6),IF('Assessment Scores'!P6&gt;'Assessment Scores'!O6,"↑","↓"),"")</f>
        <v/>
      </c>
      <c r="L6">
        <f>IF(OR(G6&lt;10,E6&lt;50),"⚠️ NEEDS INTERVENTION","")</f>
        <v/>
      </c>
    </row>
    <row r="7">
      <c r="A7">
        <f>'Class Roster'!A7</f>
        <v/>
      </c>
      <c r="B7">
        <f>'Class Roster'!B7</f>
        <v/>
      </c>
      <c r="C7">
        <f>'Class Roster'!D7</f>
        <v/>
      </c>
      <c r="D7">
        <f>'Assessment Scores'!D7</f>
        <v/>
      </c>
      <c r="E7">
        <f>'Assessment Scores'!R7</f>
        <v/>
      </c>
      <c r="F7">
        <f>IFERROR(E7-D7,"")</f>
        <v/>
      </c>
      <c r="G7">
        <f>IFERROR(IF(D7=0,"",(E7-D7)/D7*100),"")</f>
        <v/>
      </c>
      <c r="H7">
        <f>IF(G7="","",IF(G7&lt;10,"🔴 Low Growth",IF(G7&lt;20,"🟡 Moderate","🟢 Strong Growth")))</f>
        <v/>
      </c>
      <c r="I7">
        <f>IFERROR('Assessment Scores'!M7-'Assessment Scores'!D7,"")</f>
        <v/>
      </c>
      <c r="J7">
        <f>IFERROR('Assessment Scores'!N7-'Assessment Scores'!M7,"")</f>
        <v/>
      </c>
      <c r="K7">
        <f>IF(AND('Assessment Scores'!O7&lt;&gt;"",""&lt;&gt;'Assessment Scores'!P7),IF('Assessment Scores'!P7&gt;'Assessment Scores'!O7,"↑","↓"),"")</f>
        <v/>
      </c>
      <c r="L7">
        <f>IF(OR(G7&lt;10,E7&lt;50),"⚠️ NEEDS INTERVENTION","")</f>
        <v/>
      </c>
    </row>
    <row r="8">
      <c r="A8">
        <f>'Class Roster'!A8</f>
        <v/>
      </c>
      <c r="B8">
        <f>'Class Roster'!B8</f>
        <v/>
      </c>
      <c r="C8">
        <f>'Class Roster'!D8</f>
        <v/>
      </c>
      <c r="D8">
        <f>'Assessment Scores'!D8</f>
        <v/>
      </c>
      <c r="E8">
        <f>'Assessment Scores'!R8</f>
        <v/>
      </c>
      <c r="F8">
        <f>IFERROR(E8-D8,"")</f>
        <v/>
      </c>
      <c r="G8">
        <f>IFERROR(IF(D8=0,"",(E8-D8)/D8*100),"")</f>
        <v/>
      </c>
      <c r="H8">
        <f>IF(G8="","",IF(G8&lt;10,"🔴 Low Growth",IF(G8&lt;20,"🟡 Moderate","🟢 Strong Growth")))</f>
        <v/>
      </c>
      <c r="I8">
        <f>IFERROR('Assessment Scores'!M8-'Assessment Scores'!D8,"")</f>
        <v/>
      </c>
      <c r="J8">
        <f>IFERROR('Assessment Scores'!N8-'Assessment Scores'!M8,"")</f>
        <v/>
      </c>
      <c r="K8">
        <f>IF(AND('Assessment Scores'!O8&lt;&gt;"",""&lt;&gt;'Assessment Scores'!P8),IF('Assessment Scores'!P8&gt;'Assessment Scores'!O8,"↑","↓"),"")</f>
        <v/>
      </c>
      <c r="L8">
        <f>IF(OR(G8&lt;10,E8&lt;50),"⚠️ NEEDS INTERVENTION","")</f>
        <v/>
      </c>
    </row>
    <row r="9">
      <c r="A9">
        <f>'Class Roster'!A9</f>
        <v/>
      </c>
      <c r="B9">
        <f>'Class Roster'!B9</f>
        <v/>
      </c>
      <c r="C9">
        <f>'Class Roster'!D9</f>
        <v/>
      </c>
      <c r="D9">
        <f>'Assessment Scores'!D9</f>
        <v/>
      </c>
      <c r="E9">
        <f>'Assessment Scores'!R9</f>
        <v/>
      </c>
      <c r="F9">
        <f>IFERROR(E9-D9,"")</f>
        <v/>
      </c>
      <c r="G9">
        <f>IFERROR(IF(D9=0,"",(E9-D9)/D9*100),"")</f>
        <v/>
      </c>
      <c r="H9">
        <f>IF(G9="","",IF(G9&lt;10,"🔴 Low Growth",IF(G9&lt;20,"🟡 Moderate","🟢 Strong Growth")))</f>
        <v/>
      </c>
      <c r="I9">
        <f>IFERROR('Assessment Scores'!M9-'Assessment Scores'!D9,"")</f>
        <v/>
      </c>
      <c r="J9">
        <f>IFERROR('Assessment Scores'!N9-'Assessment Scores'!M9,"")</f>
        <v/>
      </c>
      <c r="K9">
        <f>IF(AND('Assessment Scores'!O9&lt;&gt;"",""&lt;&gt;'Assessment Scores'!P9),IF('Assessment Scores'!P9&gt;'Assessment Scores'!O9,"↑","↓"),"")</f>
        <v/>
      </c>
      <c r="L9">
        <f>IF(OR(G9&lt;10,E9&lt;50),"⚠️ NEEDS INTERVENTION","")</f>
        <v/>
      </c>
    </row>
    <row r="10">
      <c r="A10">
        <f>'Class Roster'!A10</f>
        <v/>
      </c>
      <c r="B10">
        <f>'Class Roster'!B10</f>
        <v/>
      </c>
      <c r="C10">
        <f>'Class Roster'!D10</f>
        <v/>
      </c>
      <c r="D10">
        <f>'Assessment Scores'!D10</f>
        <v/>
      </c>
      <c r="E10">
        <f>'Assessment Scores'!R10</f>
        <v/>
      </c>
      <c r="F10">
        <f>IFERROR(E10-D10,"")</f>
        <v/>
      </c>
      <c r="G10">
        <f>IFERROR(IF(D10=0,"",(E10-D10)/D10*100),"")</f>
        <v/>
      </c>
      <c r="H10">
        <f>IF(G10="","",IF(G10&lt;10,"🔴 Low Growth",IF(G10&lt;20,"🟡 Moderate","🟢 Strong Growth")))</f>
        <v/>
      </c>
      <c r="I10">
        <f>IFERROR('Assessment Scores'!M10-'Assessment Scores'!D10,"")</f>
        <v/>
      </c>
      <c r="J10">
        <f>IFERROR('Assessment Scores'!N10-'Assessment Scores'!M10,"")</f>
        <v/>
      </c>
      <c r="K10">
        <f>IF(AND('Assessment Scores'!O10&lt;&gt;"",""&lt;&gt;'Assessment Scores'!P10),IF('Assessment Scores'!P10&gt;'Assessment Scores'!O10,"↑","↓"),"")</f>
        <v/>
      </c>
      <c r="L10">
        <f>IF(OR(G10&lt;10,E10&lt;50),"⚠️ NEEDS INTERVENTION","")</f>
        <v/>
      </c>
    </row>
    <row r="11">
      <c r="A11">
        <f>'Class Roster'!A11</f>
        <v/>
      </c>
      <c r="B11">
        <f>'Class Roster'!B11</f>
        <v/>
      </c>
      <c r="C11">
        <f>'Class Roster'!D11</f>
        <v/>
      </c>
      <c r="D11">
        <f>'Assessment Scores'!D11</f>
        <v/>
      </c>
      <c r="E11">
        <f>'Assessment Scores'!R11</f>
        <v/>
      </c>
      <c r="F11">
        <f>IFERROR(E11-D11,"")</f>
        <v/>
      </c>
      <c r="G11">
        <f>IFERROR(IF(D11=0,"",(E11-D11)/D11*100),"")</f>
        <v/>
      </c>
      <c r="H11">
        <f>IF(G11="","",IF(G11&lt;10,"🔴 Low Growth",IF(G11&lt;20,"🟡 Moderate","🟢 Strong Growth")))</f>
        <v/>
      </c>
      <c r="I11">
        <f>IFERROR('Assessment Scores'!M11-'Assessment Scores'!D11,"")</f>
        <v/>
      </c>
      <c r="J11">
        <f>IFERROR('Assessment Scores'!N11-'Assessment Scores'!M11,"")</f>
        <v/>
      </c>
      <c r="K11">
        <f>IF(AND('Assessment Scores'!O11&lt;&gt;"",""&lt;&gt;'Assessment Scores'!P11),IF('Assessment Scores'!P11&gt;'Assessment Scores'!O11,"↑","↓"),"")</f>
        <v/>
      </c>
      <c r="L11">
        <f>IF(OR(G11&lt;10,E11&lt;50),"⚠️ NEEDS INTERVENTION","")</f>
        <v/>
      </c>
    </row>
    <row r="12">
      <c r="A12">
        <f>'Class Roster'!A12</f>
        <v/>
      </c>
      <c r="B12">
        <f>'Class Roster'!B12</f>
        <v/>
      </c>
      <c r="C12">
        <f>'Class Roster'!D12</f>
        <v/>
      </c>
      <c r="D12">
        <f>'Assessment Scores'!D12</f>
        <v/>
      </c>
      <c r="E12">
        <f>'Assessment Scores'!R12</f>
        <v/>
      </c>
      <c r="F12">
        <f>IFERROR(E12-D12,"")</f>
        <v/>
      </c>
      <c r="G12">
        <f>IFERROR(IF(D12=0,"",(E12-D12)/D12*100),"")</f>
        <v/>
      </c>
      <c r="H12">
        <f>IF(G12="","",IF(G12&lt;10,"🔴 Low Growth",IF(G12&lt;20,"🟡 Moderate","🟢 Strong Growth")))</f>
        <v/>
      </c>
      <c r="I12">
        <f>IFERROR('Assessment Scores'!M12-'Assessment Scores'!D12,"")</f>
        <v/>
      </c>
      <c r="J12">
        <f>IFERROR('Assessment Scores'!N12-'Assessment Scores'!M12,"")</f>
        <v/>
      </c>
      <c r="K12">
        <f>IF(AND('Assessment Scores'!O12&lt;&gt;"",""&lt;&gt;'Assessment Scores'!P12),IF('Assessment Scores'!P12&gt;'Assessment Scores'!O12,"↑","↓"),"")</f>
        <v/>
      </c>
      <c r="L12">
        <f>IF(OR(G12&lt;10,E12&lt;50),"⚠️ NEEDS INTERVENTION","")</f>
        <v/>
      </c>
    </row>
    <row r="13">
      <c r="A13">
        <f>'Class Roster'!A13</f>
        <v/>
      </c>
      <c r="B13">
        <f>'Class Roster'!B13</f>
        <v/>
      </c>
      <c r="C13">
        <f>'Class Roster'!D13</f>
        <v/>
      </c>
      <c r="D13">
        <f>'Assessment Scores'!D13</f>
        <v/>
      </c>
      <c r="E13">
        <f>'Assessment Scores'!R13</f>
        <v/>
      </c>
      <c r="F13">
        <f>IFERROR(E13-D13,"")</f>
        <v/>
      </c>
      <c r="G13">
        <f>IFERROR(IF(D13=0,"",(E13-D13)/D13*100),"")</f>
        <v/>
      </c>
      <c r="H13">
        <f>IF(G13="","",IF(G13&lt;10,"🔴 Low Growth",IF(G13&lt;20,"🟡 Moderate","🟢 Strong Growth")))</f>
        <v/>
      </c>
      <c r="I13">
        <f>IFERROR('Assessment Scores'!M13-'Assessment Scores'!D13,"")</f>
        <v/>
      </c>
      <c r="J13">
        <f>IFERROR('Assessment Scores'!N13-'Assessment Scores'!M13,"")</f>
        <v/>
      </c>
      <c r="K13">
        <f>IF(AND('Assessment Scores'!O13&lt;&gt;"",""&lt;&gt;'Assessment Scores'!P13),IF('Assessment Scores'!P13&gt;'Assessment Scores'!O13,"↑","↓"),"")</f>
        <v/>
      </c>
      <c r="L13">
        <f>IF(OR(G13&lt;10,E13&lt;50),"⚠️ NEEDS INTERVENTION","")</f>
        <v/>
      </c>
    </row>
    <row r="14">
      <c r="A14">
        <f>'Class Roster'!A14</f>
        <v/>
      </c>
      <c r="B14">
        <f>'Class Roster'!B14</f>
        <v/>
      </c>
      <c r="C14">
        <f>'Class Roster'!D14</f>
        <v/>
      </c>
      <c r="D14">
        <f>'Assessment Scores'!D14</f>
        <v/>
      </c>
      <c r="E14">
        <f>'Assessment Scores'!R14</f>
        <v/>
      </c>
      <c r="F14">
        <f>IFERROR(E14-D14,"")</f>
        <v/>
      </c>
      <c r="G14">
        <f>IFERROR(IF(D14=0,"",(E14-D14)/D14*100),"")</f>
        <v/>
      </c>
      <c r="H14">
        <f>IF(G14="","",IF(G14&lt;10,"🔴 Low Growth",IF(G14&lt;20,"🟡 Moderate","🟢 Strong Growth")))</f>
        <v/>
      </c>
      <c r="I14">
        <f>IFERROR('Assessment Scores'!M14-'Assessment Scores'!D14,"")</f>
        <v/>
      </c>
      <c r="J14">
        <f>IFERROR('Assessment Scores'!N14-'Assessment Scores'!M14,"")</f>
        <v/>
      </c>
      <c r="K14">
        <f>IF(AND('Assessment Scores'!O14&lt;&gt;"",""&lt;&gt;'Assessment Scores'!P14),IF('Assessment Scores'!P14&gt;'Assessment Scores'!O14,"↑","↓"),"")</f>
        <v/>
      </c>
      <c r="L14">
        <f>IF(OR(G14&lt;10,E14&lt;50),"⚠️ NEEDS INTERVENTION","")</f>
        <v/>
      </c>
    </row>
    <row r="15">
      <c r="A15">
        <f>'Class Roster'!A15</f>
        <v/>
      </c>
      <c r="B15">
        <f>'Class Roster'!B15</f>
        <v/>
      </c>
      <c r="C15">
        <f>'Class Roster'!D15</f>
        <v/>
      </c>
      <c r="D15">
        <f>'Assessment Scores'!D15</f>
        <v/>
      </c>
      <c r="E15">
        <f>'Assessment Scores'!R15</f>
        <v/>
      </c>
      <c r="F15">
        <f>IFERROR(E15-D15,"")</f>
        <v/>
      </c>
      <c r="G15">
        <f>IFERROR(IF(D15=0,"",(E15-D15)/D15*100),"")</f>
        <v/>
      </c>
      <c r="H15">
        <f>IF(G15="","",IF(G15&lt;10,"🔴 Low Growth",IF(G15&lt;20,"🟡 Moderate","🟢 Strong Growth")))</f>
        <v/>
      </c>
      <c r="I15">
        <f>IFERROR('Assessment Scores'!M15-'Assessment Scores'!D15,"")</f>
        <v/>
      </c>
      <c r="J15">
        <f>IFERROR('Assessment Scores'!N15-'Assessment Scores'!M15,"")</f>
        <v/>
      </c>
      <c r="K15">
        <f>IF(AND('Assessment Scores'!O15&lt;&gt;"",""&lt;&gt;'Assessment Scores'!P15),IF('Assessment Scores'!P15&gt;'Assessment Scores'!O15,"↑","↓"),"")</f>
        <v/>
      </c>
      <c r="L15">
        <f>IF(OR(G15&lt;10,E15&lt;50),"⚠️ NEEDS INTERVENTION","")</f>
        <v/>
      </c>
    </row>
    <row r="16">
      <c r="A16">
        <f>'Class Roster'!A16</f>
        <v/>
      </c>
      <c r="B16">
        <f>'Class Roster'!B16</f>
        <v/>
      </c>
      <c r="C16">
        <f>'Class Roster'!D16</f>
        <v/>
      </c>
      <c r="D16">
        <f>'Assessment Scores'!D16</f>
        <v/>
      </c>
      <c r="E16">
        <f>'Assessment Scores'!R16</f>
        <v/>
      </c>
      <c r="F16">
        <f>IFERROR(E16-D16,"")</f>
        <v/>
      </c>
      <c r="G16">
        <f>IFERROR(IF(D16=0,"",(E16-D16)/D16*100),"")</f>
        <v/>
      </c>
      <c r="H16">
        <f>IF(G16="","",IF(G16&lt;10,"🔴 Low Growth",IF(G16&lt;20,"🟡 Moderate","🟢 Strong Growth")))</f>
        <v/>
      </c>
      <c r="I16">
        <f>IFERROR('Assessment Scores'!M16-'Assessment Scores'!D16,"")</f>
        <v/>
      </c>
      <c r="J16">
        <f>IFERROR('Assessment Scores'!N16-'Assessment Scores'!M16,"")</f>
        <v/>
      </c>
      <c r="K16">
        <f>IF(AND('Assessment Scores'!O16&lt;&gt;"",""&lt;&gt;'Assessment Scores'!P16),IF('Assessment Scores'!P16&gt;'Assessment Scores'!O16,"↑","↓"),"")</f>
        <v/>
      </c>
      <c r="L16">
        <f>IF(OR(G16&lt;10,E16&lt;50),"⚠️ NEEDS INTERVENTION","")</f>
        <v/>
      </c>
    </row>
    <row r="17">
      <c r="A17">
        <f>'Class Roster'!A17</f>
        <v/>
      </c>
      <c r="B17">
        <f>'Class Roster'!B17</f>
        <v/>
      </c>
      <c r="C17">
        <f>'Class Roster'!D17</f>
        <v/>
      </c>
      <c r="D17">
        <f>'Assessment Scores'!D17</f>
        <v/>
      </c>
      <c r="E17">
        <f>'Assessment Scores'!R17</f>
        <v/>
      </c>
      <c r="F17">
        <f>IFERROR(E17-D17,"")</f>
        <v/>
      </c>
      <c r="G17">
        <f>IFERROR(IF(D17=0,"",(E17-D17)/D17*100),"")</f>
        <v/>
      </c>
      <c r="H17">
        <f>IF(G17="","",IF(G17&lt;10,"🔴 Low Growth",IF(G17&lt;20,"🟡 Moderate","🟢 Strong Growth")))</f>
        <v/>
      </c>
      <c r="I17">
        <f>IFERROR('Assessment Scores'!M17-'Assessment Scores'!D17,"")</f>
        <v/>
      </c>
      <c r="J17">
        <f>IFERROR('Assessment Scores'!N17-'Assessment Scores'!M17,"")</f>
        <v/>
      </c>
      <c r="K17">
        <f>IF(AND('Assessment Scores'!O17&lt;&gt;"",""&lt;&gt;'Assessment Scores'!P17),IF('Assessment Scores'!P17&gt;'Assessment Scores'!O17,"↑","↓"),"")</f>
        <v/>
      </c>
      <c r="L17">
        <f>IF(OR(G17&lt;10,E17&lt;50),"⚠️ NEEDS INTERVENTION","")</f>
        <v/>
      </c>
    </row>
    <row r="18">
      <c r="A18">
        <f>'Class Roster'!A18</f>
        <v/>
      </c>
      <c r="B18">
        <f>'Class Roster'!B18</f>
        <v/>
      </c>
      <c r="C18">
        <f>'Class Roster'!D18</f>
        <v/>
      </c>
      <c r="D18">
        <f>'Assessment Scores'!D18</f>
        <v/>
      </c>
      <c r="E18">
        <f>'Assessment Scores'!R18</f>
        <v/>
      </c>
      <c r="F18">
        <f>IFERROR(E18-D18,"")</f>
        <v/>
      </c>
      <c r="G18">
        <f>IFERROR(IF(D18=0,"",(E18-D18)/D18*100),"")</f>
        <v/>
      </c>
      <c r="H18">
        <f>IF(G18="","",IF(G18&lt;10,"🔴 Low Growth",IF(G18&lt;20,"🟡 Moderate","🟢 Strong Growth")))</f>
        <v/>
      </c>
      <c r="I18">
        <f>IFERROR('Assessment Scores'!M18-'Assessment Scores'!D18,"")</f>
        <v/>
      </c>
      <c r="J18">
        <f>IFERROR('Assessment Scores'!N18-'Assessment Scores'!M18,"")</f>
        <v/>
      </c>
      <c r="K18">
        <f>IF(AND('Assessment Scores'!O18&lt;&gt;"",""&lt;&gt;'Assessment Scores'!P18),IF('Assessment Scores'!P18&gt;'Assessment Scores'!O18,"↑","↓"),"")</f>
        <v/>
      </c>
      <c r="L18">
        <f>IF(OR(G18&lt;10,E18&lt;50),"⚠️ NEEDS INTERVENTION","")</f>
        <v/>
      </c>
    </row>
    <row r="19">
      <c r="A19">
        <f>'Class Roster'!A19</f>
        <v/>
      </c>
      <c r="B19">
        <f>'Class Roster'!B19</f>
        <v/>
      </c>
      <c r="C19">
        <f>'Class Roster'!D19</f>
        <v/>
      </c>
      <c r="D19">
        <f>'Assessment Scores'!D19</f>
        <v/>
      </c>
      <c r="E19">
        <f>'Assessment Scores'!R19</f>
        <v/>
      </c>
      <c r="F19">
        <f>IFERROR(E19-D19,"")</f>
        <v/>
      </c>
      <c r="G19">
        <f>IFERROR(IF(D19=0,"",(E19-D19)/D19*100),"")</f>
        <v/>
      </c>
      <c r="H19">
        <f>IF(G19="","",IF(G19&lt;10,"🔴 Low Growth",IF(G19&lt;20,"🟡 Moderate","🟢 Strong Growth")))</f>
        <v/>
      </c>
      <c r="I19">
        <f>IFERROR('Assessment Scores'!M19-'Assessment Scores'!D19,"")</f>
        <v/>
      </c>
      <c r="J19">
        <f>IFERROR('Assessment Scores'!N19-'Assessment Scores'!M19,"")</f>
        <v/>
      </c>
      <c r="K19">
        <f>IF(AND('Assessment Scores'!O19&lt;&gt;"",""&lt;&gt;'Assessment Scores'!P19),IF('Assessment Scores'!P19&gt;'Assessment Scores'!O19,"↑","↓"),"")</f>
        <v/>
      </c>
      <c r="L19">
        <f>IF(OR(G19&lt;10,E19&lt;50),"⚠️ NEEDS INTERVENTION","")</f>
        <v/>
      </c>
    </row>
    <row r="20">
      <c r="A20">
        <f>'Class Roster'!A20</f>
        <v/>
      </c>
      <c r="B20">
        <f>'Class Roster'!B20</f>
        <v/>
      </c>
      <c r="C20">
        <f>'Class Roster'!D20</f>
        <v/>
      </c>
      <c r="D20">
        <f>'Assessment Scores'!D20</f>
        <v/>
      </c>
      <c r="E20">
        <f>'Assessment Scores'!R20</f>
        <v/>
      </c>
      <c r="F20">
        <f>IFERROR(E20-D20,"")</f>
        <v/>
      </c>
      <c r="G20">
        <f>IFERROR(IF(D20=0,"",(E20-D20)/D20*100),"")</f>
        <v/>
      </c>
      <c r="H20">
        <f>IF(G20="","",IF(G20&lt;10,"🔴 Low Growth",IF(G20&lt;20,"🟡 Moderate","🟢 Strong Growth")))</f>
        <v/>
      </c>
      <c r="I20">
        <f>IFERROR('Assessment Scores'!M20-'Assessment Scores'!D20,"")</f>
        <v/>
      </c>
      <c r="J20">
        <f>IFERROR('Assessment Scores'!N20-'Assessment Scores'!M20,"")</f>
        <v/>
      </c>
      <c r="K20">
        <f>IF(AND('Assessment Scores'!O20&lt;&gt;"",""&lt;&gt;'Assessment Scores'!P20),IF('Assessment Scores'!P20&gt;'Assessment Scores'!O20,"↑","↓"),"")</f>
        <v/>
      </c>
      <c r="L20">
        <f>IF(OR(G20&lt;10,E20&lt;50),"⚠️ NEEDS INTERVENTION","")</f>
        <v/>
      </c>
    </row>
    <row r="21">
      <c r="A21">
        <f>'Class Roster'!A21</f>
        <v/>
      </c>
      <c r="B21">
        <f>'Class Roster'!B21</f>
        <v/>
      </c>
      <c r="C21">
        <f>'Class Roster'!D21</f>
        <v/>
      </c>
      <c r="D21">
        <f>'Assessment Scores'!D21</f>
        <v/>
      </c>
      <c r="E21">
        <f>'Assessment Scores'!R21</f>
        <v/>
      </c>
      <c r="F21">
        <f>IFERROR(E21-D21,"")</f>
        <v/>
      </c>
      <c r="G21">
        <f>IFERROR(IF(D21=0,"",(E21-D21)/D21*100),"")</f>
        <v/>
      </c>
      <c r="H21">
        <f>IF(G21="","",IF(G21&lt;10,"🔴 Low Growth",IF(G21&lt;20,"🟡 Moderate","🟢 Strong Growth")))</f>
        <v/>
      </c>
      <c r="I21">
        <f>IFERROR('Assessment Scores'!M21-'Assessment Scores'!D21,"")</f>
        <v/>
      </c>
      <c r="J21">
        <f>IFERROR('Assessment Scores'!N21-'Assessment Scores'!M21,"")</f>
        <v/>
      </c>
      <c r="K21">
        <f>IF(AND('Assessment Scores'!O21&lt;&gt;"",""&lt;&gt;'Assessment Scores'!P21),IF('Assessment Scores'!P21&gt;'Assessment Scores'!O21,"↑","↓"),"")</f>
        <v/>
      </c>
      <c r="L21">
        <f>IF(OR(G21&lt;10,E21&lt;50),"⚠️ NEEDS INTERVENTION","")</f>
        <v/>
      </c>
    </row>
    <row r="22">
      <c r="A22">
        <f>'Class Roster'!A22</f>
        <v/>
      </c>
      <c r="B22">
        <f>'Class Roster'!B22</f>
        <v/>
      </c>
      <c r="C22">
        <f>'Class Roster'!D22</f>
        <v/>
      </c>
      <c r="D22">
        <f>'Assessment Scores'!D22</f>
        <v/>
      </c>
      <c r="E22">
        <f>'Assessment Scores'!R22</f>
        <v/>
      </c>
      <c r="F22">
        <f>IFERROR(E22-D22,"")</f>
        <v/>
      </c>
      <c r="G22">
        <f>IFERROR(IF(D22=0,"",(E22-D22)/D22*100),"")</f>
        <v/>
      </c>
      <c r="H22">
        <f>IF(G22="","",IF(G22&lt;10,"🔴 Low Growth",IF(G22&lt;20,"🟡 Moderate","🟢 Strong Growth")))</f>
        <v/>
      </c>
      <c r="I22">
        <f>IFERROR('Assessment Scores'!M22-'Assessment Scores'!D22,"")</f>
        <v/>
      </c>
      <c r="J22">
        <f>IFERROR('Assessment Scores'!N22-'Assessment Scores'!M22,"")</f>
        <v/>
      </c>
      <c r="K22">
        <f>IF(AND('Assessment Scores'!O22&lt;&gt;"",""&lt;&gt;'Assessment Scores'!P22),IF('Assessment Scores'!P22&gt;'Assessment Scores'!O22,"↑","↓"),"")</f>
        <v/>
      </c>
      <c r="L22">
        <f>IF(OR(G22&lt;10,E22&lt;50),"⚠️ NEEDS INTERVENTION","")</f>
        <v/>
      </c>
    </row>
    <row r="23">
      <c r="A23">
        <f>'Class Roster'!A23</f>
        <v/>
      </c>
      <c r="B23">
        <f>'Class Roster'!B23</f>
        <v/>
      </c>
      <c r="C23">
        <f>'Class Roster'!D23</f>
        <v/>
      </c>
      <c r="D23">
        <f>'Assessment Scores'!D23</f>
        <v/>
      </c>
      <c r="E23">
        <f>'Assessment Scores'!R23</f>
        <v/>
      </c>
      <c r="F23">
        <f>IFERROR(E23-D23,"")</f>
        <v/>
      </c>
      <c r="G23">
        <f>IFERROR(IF(D23=0,"",(E23-D23)/D23*100),"")</f>
        <v/>
      </c>
      <c r="H23">
        <f>IF(G23="","",IF(G23&lt;10,"🔴 Low Growth",IF(G23&lt;20,"🟡 Moderate","🟢 Strong Growth")))</f>
        <v/>
      </c>
      <c r="I23">
        <f>IFERROR('Assessment Scores'!M23-'Assessment Scores'!D23,"")</f>
        <v/>
      </c>
      <c r="J23">
        <f>IFERROR('Assessment Scores'!N23-'Assessment Scores'!M23,"")</f>
        <v/>
      </c>
      <c r="K23">
        <f>IF(AND('Assessment Scores'!O23&lt;&gt;"",""&lt;&gt;'Assessment Scores'!P23),IF('Assessment Scores'!P23&gt;'Assessment Scores'!O23,"↑","↓"),"")</f>
        <v/>
      </c>
      <c r="L23">
        <f>IF(OR(G23&lt;10,E23&lt;50),"⚠️ NEEDS INTERVENTION","")</f>
        <v/>
      </c>
    </row>
    <row r="24">
      <c r="A24">
        <f>'Class Roster'!A24</f>
        <v/>
      </c>
      <c r="B24">
        <f>'Class Roster'!B24</f>
        <v/>
      </c>
      <c r="C24">
        <f>'Class Roster'!D24</f>
        <v/>
      </c>
      <c r="D24">
        <f>'Assessment Scores'!D24</f>
        <v/>
      </c>
      <c r="E24">
        <f>'Assessment Scores'!R24</f>
        <v/>
      </c>
      <c r="F24">
        <f>IFERROR(E24-D24,"")</f>
        <v/>
      </c>
      <c r="G24">
        <f>IFERROR(IF(D24=0,"",(E24-D24)/D24*100),"")</f>
        <v/>
      </c>
      <c r="H24">
        <f>IF(G24="","",IF(G24&lt;10,"🔴 Low Growth",IF(G24&lt;20,"🟡 Moderate","🟢 Strong Growth")))</f>
        <v/>
      </c>
      <c r="I24">
        <f>IFERROR('Assessment Scores'!M24-'Assessment Scores'!D24,"")</f>
        <v/>
      </c>
      <c r="J24">
        <f>IFERROR('Assessment Scores'!N24-'Assessment Scores'!M24,"")</f>
        <v/>
      </c>
      <c r="K24">
        <f>IF(AND('Assessment Scores'!O24&lt;&gt;"",""&lt;&gt;'Assessment Scores'!P24),IF('Assessment Scores'!P24&gt;'Assessment Scores'!O24,"↑","↓"),"")</f>
        <v/>
      </c>
      <c r="L24">
        <f>IF(OR(G24&lt;10,E24&lt;50),"⚠️ NEEDS INTERVENTION","")</f>
        <v/>
      </c>
    </row>
    <row r="25">
      <c r="A25">
        <f>'Class Roster'!A25</f>
        <v/>
      </c>
      <c r="B25">
        <f>'Class Roster'!B25</f>
        <v/>
      </c>
      <c r="C25">
        <f>'Class Roster'!D25</f>
        <v/>
      </c>
      <c r="D25">
        <f>'Assessment Scores'!D25</f>
        <v/>
      </c>
      <c r="E25">
        <f>'Assessment Scores'!R25</f>
        <v/>
      </c>
      <c r="F25">
        <f>IFERROR(E25-D25,"")</f>
        <v/>
      </c>
      <c r="G25">
        <f>IFERROR(IF(D25=0,"",(E25-D25)/D25*100),"")</f>
        <v/>
      </c>
      <c r="H25">
        <f>IF(G25="","",IF(G25&lt;10,"🔴 Low Growth",IF(G25&lt;20,"🟡 Moderate","🟢 Strong Growth")))</f>
        <v/>
      </c>
      <c r="I25">
        <f>IFERROR('Assessment Scores'!M25-'Assessment Scores'!D25,"")</f>
        <v/>
      </c>
      <c r="J25">
        <f>IFERROR('Assessment Scores'!N25-'Assessment Scores'!M25,"")</f>
        <v/>
      </c>
      <c r="K25">
        <f>IF(AND('Assessment Scores'!O25&lt;&gt;"",""&lt;&gt;'Assessment Scores'!P25),IF('Assessment Scores'!P25&gt;'Assessment Scores'!O25,"↑","↓"),"")</f>
        <v/>
      </c>
      <c r="L25">
        <f>IF(OR(G25&lt;10,E25&lt;50),"⚠️ NEEDS INTERVENTION","")</f>
        <v/>
      </c>
    </row>
    <row r="26">
      <c r="A26">
        <f>'Class Roster'!A26</f>
        <v/>
      </c>
      <c r="B26">
        <f>'Class Roster'!B26</f>
        <v/>
      </c>
      <c r="C26">
        <f>'Class Roster'!D26</f>
        <v/>
      </c>
      <c r="D26">
        <f>'Assessment Scores'!D26</f>
        <v/>
      </c>
      <c r="E26">
        <f>'Assessment Scores'!R26</f>
        <v/>
      </c>
      <c r="F26">
        <f>IFERROR(E26-D26,"")</f>
        <v/>
      </c>
      <c r="G26">
        <f>IFERROR(IF(D26=0,"",(E26-D26)/D26*100),"")</f>
        <v/>
      </c>
      <c r="H26">
        <f>IF(G26="","",IF(G26&lt;10,"🔴 Low Growth",IF(G26&lt;20,"🟡 Moderate","🟢 Strong Growth")))</f>
        <v/>
      </c>
      <c r="I26">
        <f>IFERROR('Assessment Scores'!M26-'Assessment Scores'!D26,"")</f>
        <v/>
      </c>
      <c r="J26">
        <f>IFERROR('Assessment Scores'!N26-'Assessment Scores'!M26,"")</f>
        <v/>
      </c>
      <c r="K26">
        <f>IF(AND('Assessment Scores'!O26&lt;&gt;"",""&lt;&gt;'Assessment Scores'!P26),IF('Assessment Scores'!P26&gt;'Assessment Scores'!O26,"↑","↓"),"")</f>
        <v/>
      </c>
      <c r="L26">
        <f>IF(OR(G26&lt;10,E26&lt;50),"⚠️ NEEDS INTERVENTION","")</f>
        <v/>
      </c>
    </row>
    <row r="27">
      <c r="A27">
        <f>'Class Roster'!A27</f>
        <v/>
      </c>
      <c r="B27">
        <f>'Class Roster'!B27</f>
        <v/>
      </c>
      <c r="C27">
        <f>'Class Roster'!D27</f>
        <v/>
      </c>
      <c r="D27">
        <f>'Assessment Scores'!D27</f>
        <v/>
      </c>
      <c r="E27">
        <f>'Assessment Scores'!R27</f>
        <v/>
      </c>
      <c r="F27">
        <f>IFERROR(E27-D27,"")</f>
        <v/>
      </c>
      <c r="G27">
        <f>IFERROR(IF(D27=0,"",(E27-D27)/D27*100),"")</f>
        <v/>
      </c>
      <c r="H27">
        <f>IF(G27="","",IF(G27&lt;10,"🔴 Low Growth",IF(G27&lt;20,"🟡 Moderate","🟢 Strong Growth")))</f>
        <v/>
      </c>
      <c r="I27">
        <f>IFERROR('Assessment Scores'!M27-'Assessment Scores'!D27,"")</f>
        <v/>
      </c>
      <c r="J27">
        <f>IFERROR('Assessment Scores'!N27-'Assessment Scores'!M27,"")</f>
        <v/>
      </c>
      <c r="K27">
        <f>IF(AND('Assessment Scores'!O27&lt;&gt;"",""&lt;&gt;'Assessment Scores'!P27),IF('Assessment Scores'!P27&gt;'Assessment Scores'!O27,"↑","↓"),"")</f>
        <v/>
      </c>
      <c r="L27">
        <f>IF(OR(G27&lt;10,E27&lt;50),"⚠️ NEEDS INTERVENTION","")</f>
        <v/>
      </c>
    </row>
    <row r="28">
      <c r="A28">
        <f>'Class Roster'!A28</f>
        <v/>
      </c>
      <c r="B28">
        <f>'Class Roster'!B28</f>
        <v/>
      </c>
      <c r="C28">
        <f>'Class Roster'!D28</f>
        <v/>
      </c>
      <c r="D28">
        <f>'Assessment Scores'!D28</f>
        <v/>
      </c>
      <c r="E28">
        <f>'Assessment Scores'!R28</f>
        <v/>
      </c>
      <c r="F28">
        <f>IFERROR(E28-D28,"")</f>
        <v/>
      </c>
      <c r="G28">
        <f>IFERROR(IF(D28=0,"",(E28-D28)/D28*100),"")</f>
        <v/>
      </c>
      <c r="H28">
        <f>IF(G28="","",IF(G28&lt;10,"🔴 Low Growth",IF(G28&lt;20,"🟡 Moderate","🟢 Strong Growth")))</f>
        <v/>
      </c>
      <c r="I28">
        <f>IFERROR('Assessment Scores'!M28-'Assessment Scores'!D28,"")</f>
        <v/>
      </c>
      <c r="J28">
        <f>IFERROR('Assessment Scores'!N28-'Assessment Scores'!M28,"")</f>
        <v/>
      </c>
      <c r="K28">
        <f>IF(AND('Assessment Scores'!O28&lt;&gt;"",""&lt;&gt;'Assessment Scores'!P28),IF('Assessment Scores'!P28&gt;'Assessment Scores'!O28,"↑","↓"),"")</f>
        <v/>
      </c>
      <c r="L28">
        <f>IF(OR(G28&lt;10,E28&lt;50),"⚠️ NEEDS INTERVENTION","")</f>
        <v/>
      </c>
    </row>
    <row r="29">
      <c r="A29">
        <f>'Class Roster'!A29</f>
        <v/>
      </c>
      <c r="B29">
        <f>'Class Roster'!B29</f>
        <v/>
      </c>
      <c r="C29">
        <f>'Class Roster'!D29</f>
        <v/>
      </c>
      <c r="D29">
        <f>'Assessment Scores'!D29</f>
        <v/>
      </c>
      <c r="E29">
        <f>'Assessment Scores'!R29</f>
        <v/>
      </c>
      <c r="F29">
        <f>IFERROR(E29-D29,"")</f>
        <v/>
      </c>
      <c r="G29">
        <f>IFERROR(IF(D29=0,"",(E29-D29)/D29*100),"")</f>
        <v/>
      </c>
      <c r="H29">
        <f>IF(G29="","",IF(G29&lt;10,"🔴 Low Growth",IF(G29&lt;20,"🟡 Moderate","🟢 Strong Growth")))</f>
        <v/>
      </c>
      <c r="I29">
        <f>IFERROR('Assessment Scores'!M29-'Assessment Scores'!D29,"")</f>
        <v/>
      </c>
      <c r="J29">
        <f>IFERROR('Assessment Scores'!N29-'Assessment Scores'!M29,"")</f>
        <v/>
      </c>
      <c r="K29">
        <f>IF(AND('Assessment Scores'!O29&lt;&gt;"",""&lt;&gt;'Assessment Scores'!P29),IF('Assessment Scores'!P29&gt;'Assessment Scores'!O29,"↑","↓"),"")</f>
        <v/>
      </c>
      <c r="L29">
        <f>IF(OR(G29&lt;10,E29&lt;50),"⚠️ NEEDS INTERVENTION","")</f>
        <v/>
      </c>
    </row>
    <row r="30">
      <c r="A30">
        <f>'Class Roster'!A30</f>
        <v/>
      </c>
      <c r="B30">
        <f>'Class Roster'!B30</f>
        <v/>
      </c>
      <c r="C30">
        <f>'Class Roster'!D30</f>
        <v/>
      </c>
      <c r="D30">
        <f>'Assessment Scores'!D30</f>
        <v/>
      </c>
      <c r="E30">
        <f>'Assessment Scores'!R30</f>
        <v/>
      </c>
      <c r="F30">
        <f>IFERROR(E30-D30,"")</f>
        <v/>
      </c>
      <c r="G30">
        <f>IFERROR(IF(D30=0,"",(E30-D30)/D30*100),"")</f>
        <v/>
      </c>
      <c r="H30">
        <f>IF(G30="","",IF(G30&lt;10,"🔴 Low Growth",IF(G30&lt;20,"🟡 Moderate","🟢 Strong Growth")))</f>
        <v/>
      </c>
      <c r="I30">
        <f>IFERROR('Assessment Scores'!M30-'Assessment Scores'!D30,"")</f>
        <v/>
      </c>
      <c r="J30">
        <f>IFERROR('Assessment Scores'!N30-'Assessment Scores'!M30,"")</f>
        <v/>
      </c>
      <c r="K30">
        <f>IF(AND('Assessment Scores'!O30&lt;&gt;"",""&lt;&gt;'Assessment Scores'!P30),IF('Assessment Scores'!P30&gt;'Assessment Scores'!O30,"↑","↓"),"")</f>
        <v/>
      </c>
      <c r="L30">
        <f>IF(OR(G30&lt;10,E30&lt;50),"⚠️ NEEDS INTERVENTION","")</f>
        <v/>
      </c>
    </row>
    <row r="31">
      <c r="A31">
        <f>'Class Roster'!A31</f>
        <v/>
      </c>
      <c r="B31">
        <f>'Class Roster'!B31</f>
        <v/>
      </c>
      <c r="C31">
        <f>'Class Roster'!D31</f>
        <v/>
      </c>
      <c r="D31">
        <f>'Assessment Scores'!D31</f>
        <v/>
      </c>
      <c r="E31">
        <f>'Assessment Scores'!R31</f>
        <v/>
      </c>
      <c r="F31">
        <f>IFERROR(E31-D31,"")</f>
        <v/>
      </c>
      <c r="G31">
        <f>IFERROR(IF(D31=0,"",(E31-D31)/D31*100),"")</f>
        <v/>
      </c>
      <c r="H31">
        <f>IF(G31="","",IF(G31&lt;10,"🔴 Low Growth",IF(G31&lt;20,"🟡 Moderate","🟢 Strong Growth")))</f>
        <v/>
      </c>
      <c r="I31">
        <f>IFERROR('Assessment Scores'!M31-'Assessment Scores'!D31,"")</f>
        <v/>
      </c>
      <c r="J31">
        <f>IFERROR('Assessment Scores'!N31-'Assessment Scores'!M31,"")</f>
        <v/>
      </c>
      <c r="K31">
        <f>IF(AND('Assessment Scores'!O31&lt;&gt;"",""&lt;&gt;'Assessment Scores'!P31),IF('Assessment Scores'!P31&gt;'Assessment Scores'!O31,"↑","↓"),"")</f>
        <v/>
      </c>
      <c r="L31">
        <f>IF(OR(G31&lt;10,E31&lt;50),"⚠️ NEEDS INTERVENTION","")</f>
        <v/>
      </c>
    </row>
    <row r="32">
      <c r="A32">
        <f>'Class Roster'!A32</f>
        <v/>
      </c>
      <c r="B32">
        <f>'Class Roster'!B32</f>
        <v/>
      </c>
      <c r="C32">
        <f>'Class Roster'!D32</f>
        <v/>
      </c>
      <c r="D32">
        <f>'Assessment Scores'!D32</f>
        <v/>
      </c>
      <c r="E32">
        <f>'Assessment Scores'!R32</f>
        <v/>
      </c>
      <c r="F32">
        <f>IFERROR(E32-D32,"")</f>
        <v/>
      </c>
      <c r="G32">
        <f>IFERROR(IF(D32=0,"",(E32-D32)/D32*100),"")</f>
        <v/>
      </c>
      <c r="H32">
        <f>IF(G32="","",IF(G32&lt;10,"🔴 Low Growth",IF(G32&lt;20,"🟡 Moderate","🟢 Strong Growth")))</f>
        <v/>
      </c>
      <c r="I32">
        <f>IFERROR('Assessment Scores'!M32-'Assessment Scores'!D32,"")</f>
        <v/>
      </c>
      <c r="J32">
        <f>IFERROR('Assessment Scores'!N32-'Assessment Scores'!M32,"")</f>
        <v/>
      </c>
      <c r="K32">
        <f>IF(AND('Assessment Scores'!O32&lt;&gt;"",""&lt;&gt;'Assessment Scores'!P32),IF('Assessment Scores'!P32&gt;'Assessment Scores'!O32,"↑","↓"),"")</f>
        <v/>
      </c>
      <c r="L32">
        <f>IF(OR(G32&lt;10,E32&lt;50),"⚠️ NEEDS INTERVENTION","")</f>
        <v/>
      </c>
    </row>
    <row r="33">
      <c r="A33">
        <f>'Class Roster'!A33</f>
        <v/>
      </c>
      <c r="B33">
        <f>'Class Roster'!B33</f>
        <v/>
      </c>
      <c r="C33">
        <f>'Class Roster'!D33</f>
        <v/>
      </c>
      <c r="D33">
        <f>'Assessment Scores'!D33</f>
        <v/>
      </c>
      <c r="E33">
        <f>'Assessment Scores'!R33</f>
        <v/>
      </c>
      <c r="F33">
        <f>IFERROR(E33-D33,"")</f>
        <v/>
      </c>
      <c r="G33">
        <f>IFERROR(IF(D33=0,"",(E33-D33)/D33*100),"")</f>
        <v/>
      </c>
      <c r="H33">
        <f>IF(G33="","",IF(G33&lt;10,"🔴 Low Growth",IF(G33&lt;20,"🟡 Moderate","🟢 Strong Growth")))</f>
        <v/>
      </c>
      <c r="I33">
        <f>IFERROR('Assessment Scores'!M33-'Assessment Scores'!D33,"")</f>
        <v/>
      </c>
      <c r="J33">
        <f>IFERROR('Assessment Scores'!N33-'Assessment Scores'!M33,"")</f>
        <v/>
      </c>
      <c r="K33">
        <f>IF(AND('Assessment Scores'!O33&lt;&gt;"",""&lt;&gt;'Assessment Scores'!P33),IF('Assessment Scores'!P33&gt;'Assessment Scores'!O33,"↑","↓"),"")</f>
        <v/>
      </c>
      <c r="L33">
        <f>IF(OR(G33&lt;10,E33&lt;50),"⚠️ NEEDS INTERVENTION","")</f>
        <v/>
      </c>
    </row>
    <row r="34">
      <c r="A34">
        <f>'Class Roster'!A34</f>
        <v/>
      </c>
      <c r="B34">
        <f>'Class Roster'!B34</f>
        <v/>
      </c>
      <c r="C34">
        <f>'Class Roster'!D34</f>
        <v/>
      </c>
      <c r="D34">
        <f>'Assessment Scores'!D34</f>
        <v/>
      </c>
      <c r="E34">
        <f>'Assessment Scores'!R34</f>
        <v/>
      </c>
      <c r="F34">
        <f>IFERROR(E34-D34,"")</f>
        <v/>
      </c>
      <c r="G34">
        <f>IFERROR(IF(D34=0,"",(E34-D34)/D34*100),"")</f>
        <v/>
      </c>
      <c r="H34">
        <f>IF(G34="","",IF(G34&lt;10,"🔴 Low Growth",IF(G34&lt;20,"🟡 Moderate","🟢 Strong Growth")))</f>
        <v/>
      </c>
      <c r="I34">
        <f>IFERROR('Assessment Scores'!M34-'Assessment Scores'!D34,"")</f>
        <v/>
      </c>
      <c r="J34">
        <f>IFERROR('Assessment Scores'!N34-'Assessment Scores'!M34,"")</f>
        <v/>
      </c>
      <c r="K34">
        <f>IF(AND('Assessment Scores'!O34&lt;&gt;"",""&lt;&gt;'Assessment Scores'!P34),IF('Assessment Scores'!P34&gt;'Assessment Scores'!O34,"↑","↓"),"")</f>
        <v/>
      </c>
      <c r="L34">
        <f>IF(OR(G34&lt;10,E34&lt;50),"⚠️ NEEDS INTERVENTION","")</f>
        <v/>
      </c>
    </row>
    <row r="35">
      <c r="A35">
        <f>'Class Roster'!A35</f>
        <v/>
      </c>
      <c r="B35">
        <f>'Class Roster'!B35</f>
        <v/>
      </c>
      <c r="C35">
        <f>'Class Roster'!D35</f>
        <v/>
      </c>
      <c r="D35">
        <f>'Assessment Scores'!D35</f>
        <v/>
      </c>
      <c r="E35">
        <f>'Assessment Scores'!R35</f>
        <v/>
      </c>
      <c r="F35">
        <f>IFERROR(E35-D35,"")</f>
        <v/>
      </c>
      <c r="G35">
        <f>IFERROR(IF(D35=0,"",(E35-D35)/D35*100),"")</f>
        <v/>
      </c>
      <c r="H35">
        <f>IF(G35="","",IF(G35&lt;10,"🔴 Low Growth",IF(G35&lt;20,"🟡 Moderate","🟢 Strong Growth")))</f>
        <v/>
      </c>
      <c r="I35">
        <f>IFERROR('Assessment Scores'!M35-'Assessment Scores'!D35,"")</f>
        <v/>
      </c>
      <c r="J35">
        <f>IFERROR('Assessment Scores'!N35-'Assessment Scores'!M35,"")</f>
        <v/>
      </c>
      <c r="K35">
        <f>IF(AND('Assessment Scores'!O35&lt;&gt;"",""&lt;&gt;'Assessment Scores'!P35),IF('Assessment Scores'!P35&gt;'Assessment Scores'!O35,"↑","↓"),"")</f>
        <v/>
      </c>
      <c r="L35">
        <f>IF(OR(G35&lt;10,E35&lt;50),"⚠️ NEEDS INTERVENTION","")</f>
        <v/>
      </c>
    </row>
    <row r="36">
      <c r="A36">
        <f>'Class Roster'!A36</f>
        <v/>
      </c>
      <c r="B36">
        <f>'Class Roster'!B36</f>
        <v/>
      </c>
      <c r="C36">
        <f>'Class Roster'!D36</f>
        <v/>
      </c>
      <c r="D36">
        <f>'Assessment Scores'!D36</f>
        <v/>
      </c>
      <c r="E36">
        <f>'Assessment Scores'!R36</f>
        <v/>
      </c>
      <c r="F36">
        <f>IFERROR(E36-D36,"")</f>
        <v/>
      </c>
      <c r="G36">
        <f>IFERROR(IF(D36=0,"",(E36-D36)/D36*100),"")</f>
        <v/>
      </c>
      <c r="H36">
        <f>IF(G36="","",IF(G36&lt;10,"🔴 Low Growth",IF(G36&lt;20,"🟡 Moderate","🟢 Strong Growth")))</f>
        <v/>
      </c>
      <c r="I36">
        <f>IFERROR('Assessment Scores'!M36-'Assessment Scores'!D36,"")</f>
        <v/>
      </c>
      <c r="J36">
        <f>IFERROR('Assessment Scores'!N36-'Assessment Scores'!M36,"")</f>
        <v/>
      </c>
      <c r="K36">
        <f>IF(AND('Assessment Scores'!O36&lt;&gt;"",""&lt;&gt;'Assessment Scores'!P36),IF('Assessment Scores'!P36&gt;'Assessment Scores'!O36,"↑","↓"),"")</f>
        <v/>
      </c>
      <c r="L36">
        <f>IF(OR(G36&lt;10,E36&lt;50),"⚠️ NEEDS INTERVENTION","")</f>
        <v/>
      </c>
    </row>
    <row r="37">
      <c r="A37">
        <f>'Class Roster'!A37</f>
        <v/>
      </c>
      <c r="B37">
        <f>'Class Roster'!B37</f>
        <v/>
      </c>
      <c r="C37">
        <f>'Class Roster'!D37</f>
        <v/>
      </c>
      <c r="D37">
        <f>'Assessment Scores'!D37</f>
        <v/>
      </c>
      <c r="E37">
        <f>'Assessment Scores'!R37</f>
        <v/>
      </c>
      <c r="F37">
        <f>IFERROR(E37-D37,"")</f>
        <v/>
      </c>
      <c r="G37">
        <f>IFERROR(IF(D37=0,"",(E37-D37)/D37*100),"")</f>
        <v/>
      </c>
      <c r="H37">
        <f>IF(G37="","",IF(G37&lt;10,"🔴 Low Growth",IF(G37&lt;20,"🟡 Moderate","🟢 Strong Growth")))</f>
        <v/>
      </c>
      <c r="I37">
        <f>IFERROR('Assessment Scores'!M37-'Assessment Scores'!D37,"")</f>
        <v/>
      </c>
      <c r="J37">
        <f>IFERROR('Assessment Scores'!N37-'Assessment Scores'!M37,"")</f>
        <v/>
      </c>
      <c r="K37">
        <f>IF(AND('Assessment Scores'!O37&lt;&gt;"",""&lt;&gt;'Assessment Scores'!P37),IF('Assessment Scores'!P37&gt;'Assessment Scores'!O37,"↑","↓"),"")</f>
        <v/>
      </c>
      <c r="L37">
        <f>IF(OR(G37&lt;10,E37&lt;50),"⚠️ NEEDS INTERVENTION","")</f>
        <v/>
      </c>
    </row>
  </sheetData>
  <conditionalFormatting sqref="G3:G37">
    <cfRule type="cellIs" priority="1" operator="lessThan" dxfId="0">
      <formula>10</formula>
    </cfRule>
    <cfRule type="cellIs" priority="2" operator="between" dxfId="1">
      <formula>10</formula>
      <formula>20</formula>
    </cfRule>
    <cfRule type="cellIs" priority="3" operator="greaterThan" dxfId="3">
      <formula>20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J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8" customWidth="1" min="9" max="9"/>
    <col width="45" customWidth="1" min="10" max="10"/>
  </cols>
  <sheetData>
    <row r="1">
      <c r="A1" s="4" t="inlineStr">
        <is>
          <t>Last Name</t>
        </is>
      </c>
      <c r="B1" s="4" t="inlineStr">
        <is>
          <t>First Name</t>
        </is>
      </c>
      <c r="C1" s="4" t="inlineStr">
        <is>
          <t>Subgroup</t>
        </is>
      </c>
      <c r="D1" s="4" t="inlineStr">
        <is>
          <t>BOY Level</t>
        </is>
      </c>
      <c r="E1" s="4" t="inlineStr">
        <is>
          <t>MOY Level</t>
        </is>
      </c>
      <c r="F1" s="4" t="inlineStr">
        <is>
          <t>Mock 1 Level</t>
        </is>
      </c>
      <c r="G1" s="4" t="inlineStr">
        <is>
          <t>Mock 2 Level</t>
        </is>
      </c>
      <c r="H1" s="4" t="inlineStr">
        <is>
          <t>Current Projection</t>
        </is>
      </c>
      <c r="I1" s="4" t="inlineStr">
        <is>
          <t>Movement</t>
        </is>
      </c>
      <c r="J1" s="4" t="inlineStr">
        <is>
          <t>Action Needed</t>
        </is>
      </c>
    </row>
    <row r="3">
      <c r="A3">
        <f>'Class Roster'!A3</f>
        <v/>
      </c>
      <c r="B3">
        <f>'Class Roster'!B3</f>
        <v/>
      </c>
      <c r="C3">
        <f>'Class Roster'!D3</f>
        <v/>
      </c>
      <c r="D3" t="inlineStr">
        <is>
          <t>D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>
        <f>IFERROR(LOOKUP(2,1/(D3:G3&lt;&gt;""),D3:G3),"")</f>
        <v/>
      </c>
      <c r="I3">
        <f>IF(AND(D3&lt;&gt;"",H3&lt;&gt;""),IF(MATCH(H3,{"D","A","M","MA"},0)&gt;MATCH(D3,{"D","A","M","MA"},0),"⬆️ Moving Up",IF(MATCH(H3,{"D","A","M","MA"},0)&lt;MATCH(D3,{"D","A","M","MA"},0),"⬇️ Moving Down","➡️ No Change")),"")</f>
        <v/>
      </c>
      <c r="J3">
        <f>IF(H3="D","🚨 Intensive Intervention",IF(H3="A","📋 Targeted Practice",IF(H3="M","💪 Push toward Masters",IF(H3="MA","⭐ Extension &amp; peer tutoring",""))))</f>
        <v/>
      </c>
    </row>
    <row r="4">
      <c r="A4">
        <f>'Class Roster'!A4</f>
        <v/>
      </c>
      <c r="B4">
        <f>'Class Roster'!B4</f>
        <v/>
      </c>
      <c r="C4">
        <f>'Class Roster'!D4</f>
        <v/>
      </c>
      <c r="D4" t="inlineStr">
        <is>
          <t>M</t>
        </is>
      </c>
      <c r="E4" t="inlineStr">
        <is>
          <t>M</t>
        </is>
      </c>
      <c r="F4" t="inlineStr">
        <is>
          <t>MA</t>
        </is>
      </c>
      <c r="G4" t="inlineStr">
        <is>
          <t>MA</t>
        </is>
      </c>
      <c r="H4">
        <f>IFERROR(LOOKUP(2,1/(D4:G4&lt;&gt;""),D4:G4),"")</f>
        <v/>
      </c>
      <c r="I4">
        <f>IF(AND(D4&lt;&gt;"",H4&lt;&gt;""),IF(MATCH(H4,{"D","A","M","MA"},0)&gt;MATCH(D4,{"D","A","M","MA"},0),"⬆️ Moving Up",IF(MATCH(H4,{"D","A","M","MA"},0)&lt;MATCH(D4,{"D","A","M","MA"},0),"⬇️ Moving Down","➡️ No Change")),"")</f>
        <v/>
      </c>
      <c r="J4">
        <f>IF(H4="D","🚨 Intensive Intervention",IF(H4="A","📋 Targeted Practice",IF(H4="M","💪 Push toward Masters",IF(H4="MA","⭐ Extension &amp; peer tutoring",""))))</f>
        <v/>
      </c>
    </row>
    <row r="5">
      <c r="A5">
        <f>'Class Roster'!A5</f>
        <v/>
      </c>
      <c r="B5">
        <f>'Class Roster'!B5</f>
        <v/>
      </c>
      <c r="C5">
        <f>'Class Roster'!D5</f>
        <v/>
      </c>
      <c r="D5" t="inlineStr">
        <is>
          <t>D</t>
        </is>
      </c>
      <c r="E5" t="inlineStr">
        <is>
          <t>D</t>
        </is>
      </c>
      <c r="F5" t="inlineStr">
        <is>
          <t>D</t>
        </is>
      </c>
      <c r="G5" t="inlineStr">
        <is>
          <t>A</t>
        </is>
      </c>
      <c r="H5">
        <f>IFERROR(LOOKUP(2,1/(D5:G5&lt;&gt;""),D5:G5),"")</f>
        <v/>
      </c>
      <c r="I5">
        <f>IF(AND(D5&lt;&gt;"",H5&lt;&gt;""),IF(MATCH(H5,{"D","A","M","MA"},0)&gt;MATCH(D5,{"D","A","M","MA"},0),"⬆️ Moving Up",IF(MATCH(H5,{"D","A","M","MA"},0)&lt;MATCH(D5,{"D","A","M","MA"},0),"⬇️ Moving Down","➡️ No Change")),"")</f>
        <v/>
      </c>
      <c r="J5">
        <f>IF(H5="D","🚨 Intensive Intervention",IF(H5="A","📋 Targeted Practice",IF(H5="M","💪 Push toward Masters",IF(H5="MA","⭐ Extension &amp; peer tutoring",""))))</f>
        <v/>
      </c>
    </row>
    <row r="6">
      <c r="A6">
        <f>'Class Roster'!A6</f>
        <v/>
      </c>
      <c r="B6">
        <f>'Class Roster'!B6</f>
        <v/>
      </c>
      <c r="C6">
        <f>'Class Roster'!D6</f>
        <v/>
      </c>
      <c r="H6">
        <f>IFERROR(LOOKUP(2,1/(D6:G6&lt;&gt;""),D6:G6),"")</f>
        <v/>
      </c>
      <c r="I6">
        <f>IF(AND(D6&lt;&gt;"",H6&lt;&gt;""),IF(MATCH(H6,{"D","A","M","MA"},0)&gt;MATCH(D6,{"D","A","M","MA"},0),"⬆️ Moving Up",IF(MATCH(H6,{"D","A","M","MA"},0)&lt;MATCH(D6,{"D","A","M","MA"},0),"⬇️ Moving Down","➡️ No Change")),"")</f>
        <v/>
      </c>
      <c r="J6">
        <f>IF(H6="D","🚨 Intensive Intervention",IF(H6="A","📋 Targeted Practice",IF(H6="M","💪 Push toward Masters",IF(H6="MA","⭐ Extension &amp; peer tutoring",""))))</f>
        <v/>
      </c>
    </row>
    <row r="7">
      <c r="A7">
        <f>'Class Roster'!A7</f>
        <v/>
      </c>
      <c r="B7">
        <f>'Class Roster'!B7</f>
        <v/>
      </c>
      <c r="C7">
        <f>'Class Roster'!D7</f>
        <v/>
      </c>
      <c r="H7">
        <f>IFERROR(LOOKUP(2,1/(D7:G7&lt;&gt;""),D7:G7),"")</f>
        <v/>
      </c>
      <c r="I7">
        <f>IF(AND(D7&lt;&gt;"",H7&lt;&gt;""),IF(MATCH(H7,{"D","A","M","MA"},0)&gt;MATCH(D7,{"D","A","M","MA"},0),"⬆️ Moving Up",IF(MATCH(H7,{"D","A","M","MA"},0)&lt;MATCH(D7,{"D","A","M","MA"},0),"⬇️ Moving Down","➡️ No Change")),"")</f>
        <v/>
      </c>
      <c r="J7">
        <f>IF(H7="D","🚨 Intensive Intervention",IF(H7="A","📋 Targeted Practice",IF(H7="M","💪 Push toward Masters",IF(H7="MA","⭐ Extension &amp; peer tutoring",""))))</f>
        <v/>
      </c>
    </row>
    <row r="8">
      <c r="A8">
        <f>'Class Roster'!A8</f>
        <v/>
      </c>
      <c r="B8">
        <f>'Class Roster'!B8</f>
        <v/>
      </c>
      <c r="C8">
        <f>'Class Roster'!D8</f>
        <v/>
      </c>
      <c r="H8">
        <f>IFERROR(LOOKUP(2,1/(D8:G8&lt;&gt;""),D8:G8),"")</f>
        <v/>
      </c>
      <c r="I8">
        <f>IF(AND(D8&lt;&gt;"",H8&lt;&gt;""),IF(MATCH(H8,{"D","A","M","MA"},0)&gt;MATCH(D8,{"D","A","M","MA"},0),"⬆️ Moving Up",IF(MATCH(H8,{"D","A","M","MA"},0)&lt;MATCH(D8,{"D","A","M","MA"},0),"⬇️ Moving Down","➡️ No Change")),"")</f>
        <v/>
      </c>
      <c r="J8">
        <f>IF(H8="D","🚨 Intensive Intervention",IF(H8="A","📋 Targeted Practice",IF(H8="M","💪 Push toward Masters",IF(H8="MA","⭐ Extension &amp; peer tutoring",""))))</f>
        <v/>
      </c>
    </row>
    <row r="9">
      <c r="A9">
        <f>'Class Roster'!A9</f>
        <v/>
      </c>
      <c r="B9">
        <f>'Class Roster'!B9</f>
        <v/>
      </c>
      <c r="C9">
        <f>'Class Roster'!D9</f>
        <v/>
      </c>
      <c r="H9">
        <f>IFERROR(LOOKUP(2,1/(D9:G9&lt;&gt;""),D9:G9),"")</f>
        <v/>
      </c>
      <c r="I9">
        <f>IF(AND(D9&lt;&gt;"",H9&lt;&gt;""),IF(MATCH(H9,{"D","A","M","MA"},0)&gt;MATCH(D9,{"D","A","M","MA"},0),"⬆️ Moving Up",IF(MATCH(H9,{"D","A","M","MA"},0)&lt;MATCH(D9,{"D","A","M","MA"},0),"⬇️ Moving Down","➡️ No Change")),"")</f>
        <v/>
      </c>
      <c r="J9">
        <f>IF(H9="D","🚨 Intensive Intervention",IF(H9="A","📋 Targeted Practice",IF(H9="M","💪 Push toward Masters",IF(H9="MA","⭐ Extension &amp; peer tutoring",""))))</f>
        <v/>
      </c>
    </row>
    <row r="10">
      <c r="A10">
        <f>'Class Roster'!A10</f>
        <v/>
      </c>
      <c r="B10">
        <f>'Class Roster'!B10</f>
        <v/>
      </c>
      <c r="C10">
        <f>'Class Roster'!D10</f>
        <v/>
      </c>
      <c r="H10">
        <f>IFERROR(LOOKUP(2,1/(D10:G10&lt;&gt;""),D10:G10),"")</f>
        <v/>
      </c>
      <c r="I10">
        <f>IF(AND(D10&lt;&gt;"",H10&lt;&gt;""),IF(MATCH(H10,{"D","A","M","MA"},0)&gt;MATCH(D10,{"D","A","M","MA"},0),"⬆️ Moving Up",IF(MATCH(H10,{"D","A","M","MA"},0)&lt;MATCH(D10,{"D","A","M","MA"},0),"⬇️ Moving Down","➡️ No Change")),"")</f>
        <v/>
      </c>
      <c r="J10">
        <f>IF(H10="D","🚨 Intensive Intervention",IF(H10="A","📋 Targeted Practice",IF(H10="M","💪 Push toward Masters",IF(H10="MA","⭐ Extension &amp; peer tutoring",""))))</f>
        <v/>
      </c>
    </row>
    <row r="11">
      <c r="A11">
        <f>'Class Roster'!A11</f>
        <v/>
      </c>
      <c r="B11">
        <f>'Class Roster'!B11</f>
        <v/>
      </c>
      <c r="C11">
        <f>'Class Roster'!D11</f>
        <v/>
      </c>
      <c r="H11">
        <f>IFERROR(LOOKUP(2,1/(D11:G11&lt;&gt;""),D11:G11),"")</f>
        <v/>
      </c>
      <c r="I11">
        <f>IF(AND(D11&lt;&gt;"",H11&lt;&gt;""),IF(MATCH(H11,{"D","A","M","MA"},0)&gt;MATCH(D11,{"D","A","M","MA"},0),"⬆️ Moving Up",IF(MATCH(H11,{"D","A","M","MA"},0)&lt;MATCH(D11,{"D","A","M","MA"},0),"⬇️ Moving Down","➡️ No Change")),"")</f>
        <v/>
      </c>
      <c r="J11">
        <f>IF(H11="D","🚨 Intensive Intervention",IF(H11="A","📋 Targeted Practice",IF(H11="M","💪 Push toward Masters",IF(H11="MA","⭐ Extension &amp; peer tutoring",""))))</f>
        <v/>
      </c>
    </row>
    <row r="12">
      <c r="A12">
        <f>'Class Roster'!A12</f>
        <v/>
      </c>
      <c r="B12">
        <f>'Class Roster'!B12</f>
        <v/>
      </c>
      <c r="C12">
        <f>'Class Roster'!D12</f>
        <v/>
      </c>
      <c r="H12">
        <f>IFERROR(LOOKUP(2,1/(D12:G12&lt;&gt;""),D12:G12),"")</f>
        <v/>
      </c>
      <c r="I12">
        <f>IF(AND(D12&lt;&gt;"",H12&lt;&gt;""),IF(MATCH(H12,{"D","A","M","MA"},0)&gt;MATCH(D12,{"D","A","M","MA"},0),"⬆️ Moving Up",IF(MATCH(H12,{"D","A","M","MA"},0)&lt;MATCH(D12,{"D","A","M","MA"},0),"⬇️ Moving Down","➡️ No Change")),"")</f>
        <v/>
      </c>
      <c r="J12">
        <f>IF(H12="D","🚨 Intensive Intervention",IF(H12="A","📋 Targeted Practice",IF(H12="M","💪 Push toward Masters",IF(H12="MA","⭐ Extension &amp; peer tutoring",""))))</f>
        <v/>
      </c>
    </row>
    <row r="13">
      <c r="A13">
        <f>'Class Roster'!A13</f>
        <v/>
      </c>
      <c r="B13">
        <f>'Class Roster'!B13</f>
        <v/>
      </c>
      <c r="C13">
        <f>'Class Roster'!D13</f>
        <v/>
      </c>
      <c r="H13">
        <f>IFERROR(LOOKUP(2,1/(D13:G13&lt;&gt;""),D13:G13),"")</f>
        <v/>
      </c>
      <c r="I13">
        <f>IF(AND(D13&lt;&gt;"",H13&lt;&gt;""),IF(MATCH(H13,{"D","A","M","MA"},0)&gt;MATCH(D13,{"D","A","M","MA"},0),"⬆️ Moving Up",IF(MATCH(H13,{"D","A","M","MA"},0)&lt;MATCH(D13,{"D","A","M","MA"},0),"⬇️ Moving Down","➡️ No Change")),"")</f>
        <v/>
      </c>
      <c r="J13">
        <f>IF(H13="D","🚨 Intensive Intervention",IF(H13="A","📋 Targeted Practice",IF(H13="M","💪 Push toward Masters",IF(H13="MA","⭐ Extension &amp; peer tutoring",""))))</f>
        <v/>
      </c>
    </row>
    <row r="14">
      <c r="A14">
        <f>'Class Roster'!A14</f>
        <v/>
      </c>
      <c r="B14">
        <f>'Class Roster'!B14</f>
        <v/>
      </c>
      <c r="C14">
        <f>'Class Roster'!D14</f>
        <v/>
      </c>
      <c r="H14">
        <f>IFERROR(LOOKUP(2,1/(D14:G14&lt;&gt;""),D14:G14),"")</f>
        <v/>
      </c>
      <c r="I14">
        <f>IF(AND(D14&lt;&gt;"",H14&lt;&gt;""),IF(MATCH(H14,{"D","A","M","MA"},0)&gt;MATCH(D14,{"D","A","M","MA"},0),"⬆️ Moving Up",IF(MATCH(H14,{"D","A","M","MA"},0)&lt;MATCH(D14,{"D","A","M","MA"},0),"⬇️ Moving Down","➡️ No Change")),"")</f>
        <v/>
      </c>
      <c r="J14">
        <f>IF(H14="D","🚨 Intensive Intervention",IF(H14="A","📋 Targeted Practice",IF(H14="M","💪 Push toward Masters",IF(H14="MA","⭐ Extension &amp; peer tutoring",""))))</f>
        <v/>
      </c>
    </row>
    <row r="15">
      <c r="A15">
        <f>'Class Roster'!A15</f>
        <v/>
      </c>
      <c r="B15">
        <f>'Class Roster'!B15</f>
        <v/>
      </c>
      <c r="C15">
        <f>'Class Roster'!D15</f>
        <v/>
      </c>
      <c r="H15">
        <f>IFERROR(LOOKUP(2,1/(D15:G15&lt;&gt;""),D15:G15),"")</f>
        <v/>
      </c>
      <c r="I15">
        <f>IF(AND(D15&lt;&gt;"",H15&lt;&gt;""),IF(MATCH(H15,{"D","A","M","MA"},0)&gt;MATCH(D15,{"D","A","M","MA"},0),"⬆️ Moving Up",IF(MATCH(H15,{"D","A","M","MA"},0)&lt;MATCH(D15,{"D","A","M","MA"},0),"⬇️ Moving Down","➡️ No Change")),"")</f>
        <v/>
      </c>
      <c r="J15">
        <f>IF(H15="D","🚨 Intensive Intervention",IF(H15="A","📋 Targeted Practice",IF(H15="M","💪 Push toward Masters",IF(H15="MA","⭐ Extension &amp; peer tutoring",""))))</f>
        <v/>
      </c>
    </row>
    <row r="16">
      <c r="A16">
        <f>'Class Roster'!A16</f>
        <v/>
      </c>
      <c r="B16">
        <f>'Class Roster'!B16</f>
        <v/>
      </c>
      <c r="C16">
        <f>'Class Roster'!D16</f>
        <v/>
      </c>
      <c r="H16">
        <f>IFERROR(LOOKUP(2,1/(D16:G16&lt;&gt;""),D16:G16),"")</f>
        <v/>
      </c>
      <c r="I16">
        <f>IF(AND(D16&lt;&gt;"",H16&lt;&gt;""),IF(MATCH(H16,{"D","A","M","MA"},0)&gt;MATCH(D16,{"D","A","M","MA"},0),"⬆️ Moving Up",IF(MATCH(H16,{"D","A","M","MA"},0)&lt;MATCH(D16,{"D","A","M","MA"},0),"⬇️ Moving Down","➡️ No Change")),"")</f>
        <v/>
      </c>
      <c r="J16">
        <f>IF(H16="D","🚨 Intensive Intervention",IF(H16="A","📋 Targeted Practice",IF(H16="M","💪 Push toward Masters",IF(H16="MA","⭐ Extension &amp; peer tutoring",""))))</f>
        <v/>
      </c>
    </row>
    <row r="17">
      <c r="A17">
        <f>'Class Roster'!A17</f>
        <v/>
      </c>
      <c r="B17">
        <f>'Class Roster'!B17</f>
        <v/>
      </c>
      <c r="C17">
        <f>'Class Roster'!D17</f>
        <v/>
      </c>
      <c r="H17">
        <f>IFERROR(LOOKUP(2,1/(D17:G17&lt;&gt;""),D17:G17),"")</f>
        <v/>
      </c>
      <c r="I17">
        <f>IF(AND(D17&lt;&gt;"",H17&lt;&gt;""),IF(MATCH(H17,{"D","A","M","MA"},0)&gt;MATCH(D17,{"D","A","M","MA"},0),"⬆️ Moving Up",IF(MATCH(H17,{"D","A","M","MA"},0)&lt;MATCH(D17,{"D","A","M","MA"},0),"⬇️ Moving Down","➡️ No Change")),"")</f>
        <v/>
      </c>
      <c r="J17">
        <f>IF(H17="D","🚨 Intensive Intervention",IF(H17="A","📋 Targeted Practice",IF(H17="M","💪 Push toward Masters",IF(H17="MA","⭐ Extension &amp; peer tutoring",""))))</f>
        <v/>
      </c>
    </row>
    <row r="18">
      <c r="A18">
        <f>'Class Roster'!A18</f>
        <v/>
      </c>
      <c r="B18">
        <f>'Class Roster'!B18</f>
        <v/>
      </c>
      <c r="C18">
        <f>'Class Roster'!D18</f>
        <v/>
      </c>
      <c r="H18">
        <f>IFERROR(LOOKUP(2,1/(D18:G18&lt;&gt;""),D18:G18),"")</f>
        <v/>
      </c>
      <c r="I18">
        <f>IF(AND(D18&lt;&gt;"",H18&lt;&gt;""),IF(MATCH(H18,{"D","A","M","MA"},0)&gt;MATCH(D18,{"D","A","M","MA"},0),"⬆️ Moving Up",IF(MATCH(H18,{"D","A","M","MA"},0)&lt;MATCH(D18,{"D","A","M","MA"},0),"⬇️ Moving Down","➡️ No Change")),"")</f>
        <v/>
      </c>
      <c r="J18">
        <f>IF(H18="D","🚨 Intensive Intervention",IF(H18="A","📋 Targeted Practice",IF(H18="M","💪 Push toward Masters",IF(H18="MA","⭐ Extension &amp; peer tutoring",""))))</f>
        <v/>
      </c>
    </row>
    <row r="19">
      <c r="A19">
        <f>'Class Roster'!A19</f>
        <v/>
      </c>
      <c r="B19">
        <f>'Class Roster'!B19</f>
        <v/>
      </c>
      <c r="C19">
        <f>'Class Roster'!D19</f>
        <v/>
      </c>
      <c r="H19">
        <f>IFERROR(LOOKUP(2,1/(D19:G19&lt;&gt;""),D19:G19),"")</f>
        <v/>
      </c>
      <c r="I19">
        <f>IF(AND(D19&lt;&gt;"",H19&lt;&gt;""),IF(MATCH(H19,{"D","A","M","MA"},0)&gt;MATCH(D19,{"D","A","M","MA"},0),"⬆️ Moving Up",IF(MATCH(H19,{"D","A","M","MA"},0)&lt;MATCH(D19,{"D","A","M","MA"},0),"⬇️ Moving Down","➡️ No Change")),"")</f>
        <v/>
      </c>
      <c r="J19">
        <f>IF(H19="D","🚨 Intensive Intervention",IF(H19="A","📋 Targeted Practice",IF(H19="M","💪 Push toward Masters",IF(H19="MA","⭐ Extension &amp; peer tutoring",""))))</f>
        <v/>
      </c>
    </row>
    <row r="20">
      <c r="A20">
        <f>'Class Roster'!A20</f>
        <v/>
      </c>
      <c r="B20">
        <f>'Class Roster'!B20</f>
        <v/>
      </c>
      <c r="C20">
        <f>'Class Roster'!D20</f>
        <v/>
      </c>
      <c r="H20">
        <f>IFERROR(LOOKUP(2,1/(D20:G20&lt;&gt;""),D20:G20),"")</f>
        <v/>
      </c>
      <c r="I20">
        <f>IF(AND(D20&lt;&gt;"",H20&lt;&gt;""),IF(MATCH(H20,{"D","A","M","MA"},0)&gt;MATCH(D20,{"D","A","M","MA"},0),"⬆️ Moving Up",IF(MATCH(H20,{"D","A","M","MA"},0)&lt;MATCH(D20,{"D","A","M","MA"},0),"⬇️ Moving Down","➡️ No Change")),"")</f>
        <v/>
      </c>
      <c r="J20">
        <f>IF(H20="D","🚨 Intensive Intervention",IF(H20="A","📋 Targeted Practice",IF(H20="M","💪 Push toward Masters",IF(H20="MA","⭐ Extension &amp; peer tutoring",""))))</f>
        <v/>
      </c>
    </row>
    <row r="21">
      <c r="A21">
        <f>'Class Roster'!A21</f>
        <v/>
      </c>
      <c r="B21">
        <f>'Class Roster'!B21</f>
        <v/>
      </c>
      <c r="C21">
        <f>'Class Roster'!D21</f>
        <v/>
      </c>
      <c r="H21">
        <f>IFERROR(LOOKUP(2,1/(D21:G21&lt;&gt;""),D21:G21),"")</f>
        <v/>
      </c>
      <c r="I21">
        <f>IF(AND(D21&lt;&gt;"",H21&lt;&gt;""),IF(MATCH(H21,{"D","A","M","MA"},0)&gt;MATCH(D21,{"D","A","M","MA"},0),"⬆️ Moving Up",IF(MATCH(H21,{"D","A","M","MA"},0)&lt;MATCH(D21,{"D","A","M","MA"},0),"⬇️ Moving Down","➡️ No Change")),"")</f>
        <v/>
      </c>
      <c r="J21">
        <f>IF(H21="D","🚨 Intensive Intervention",IF(H21="A","📋 Targeted Practice",IF(H21="M","💪 Push toward Masters",IF(H21="MA","⭐ Extension &amp; peer tutoring",""))))</f>
        <v/>
      </c>
    </row>
    <row r="22">
      <c r="A22">
        <f>'Class Roster'!A22</f>
        <v/>
      </c>
      <c r="B22">
        <f>'Class Roster'!B22</f>
        <v/>
      </c>
      <c r="C22">
        <f>'Class Roster'!D22</f>
        <v/>
      </c>
      <c r="H22">
        <f>IFERROR(LOOKUP(2,1/(D22:G22&lt;&gt;""),D22:G22),"")</f>
        <v/>
      </c>
      <c r="I22">
        <f>IF(AND(D22&lt;&gt;"",H22&lt;&gt;""),IF(MATCH(H22,{"D","A","M","MA"},0)&gt;MATCH(D22,{"D","A","M","MA"},0),"⬆️ Moving Up",IF(MATCH(H22,{"D","A","M","MA"},0)&lt;MATCH(D22,{"D","A","M","MA"},0),"⬇️ Moving Down","➡️ No Change")),"")</f>
        <v/>
      </c>
      <c r="J22">
        <f>IF(H22="D","🚨 Intensive Intervention",IF(H22="A","📋 Targeted Practice",IF(H22="M","💪 Push toward Masters",IF(H22="MA","⭐ Extension &amp; peer tutoring",""))))</f>
        <v/>
      </c>
    </row>
    <row r="23">
      <c r="A23">
        <f>'Class Roster'!A23</f>
        <v/>
      </c>
      <c r="B23">
        <f>'Class Roster'!B23</f>
        <v/>
      </c>
      <c r="C23">
        <f>'Class Roster'!D23</f>
        <v/>
      </c>
      <c r="H23">
        <f>IFERROR(LOOKUP(2,1/(D23:G23&lt;&gt;""),D23:G23),"")</f>
        <v/>
      </c>
      <c r="I23">
        <f>IF(AND(D23&lt;&gt;"",H23&lt;&gt;""),IF(MATCH(H23,{"D","A","M","MA"},0)&gt;MATCH(D23,{"D","A","M","MA"},0),"⬆️ Moving Up",IF(MATCH(H23,{"D","A","M","MA"},0)&lt;MATCH(D23,{"D","A","M","MA"},0),"⬇️ Moving Down","➡️ No Change")),"")</f>
        <v/>
      </c>
      <c r="J23">
        <f>IF(H23="D","🚨 Intensive Intervention",IF(H23="A","📋 Targeted Practice",IF(H23="M","💪 Push toward Masters",IF(H23="MA","⭐ Extension &amp; peer tutoring",""))))</f>
        <v/>
      </c>
    </row>
    <row r="24">
      <c r="A24">
        <f>'Class Roster'!A24</f>
        <v/>
      </c>
      <c r="B24">
        <f>'Class Roster'!B24</f>
        <v/>
      </c>
      <c r="C24">
        <f>'Class Roster'!D24</f>
        <v/>
      </c>
      <c r="H24">
        <f>IFERROR(LOOKUP(2,1/(D24:G24&lt;&gt;""),D24:G24),"")</f>
        <v/>
      </c>
      <c r="I24">
        <f>IF(AND(D24&lt;&gt;"",H24&lt;&gt;""),IF(MATCH(H24,{"D","A","M","MA"},0)&gt;MATCH(D24,{"D","A","M","MA"},0),"⬆️ Moving Up",IF(MATCH(H24,{"D","A","M","MA"},0)&lt;MATCH(D24,{"D","A","M","MA"},0),"⬇️ Moving Down","➡️ No Change")),"")</f>
        <v/>
      </c>
      <c r="J24">
        <f>IF(H24="D","🚨 Intensive Intervention",IF(H24="A","📋 Targeted Practice",IF(H24="M","💪 Push toward Masters",IF(H24="MA","⭐ Extension &amp; peer tutoring",""))))</f>
        <v/>
      </c>
    </row>
    <row r="25">
      <c r="A25">
        <f>'Class Roster'!A25</f>
        <v/>
      </c>
      <c r="B25">
        <f>'Class Roster'!B25</f>
        <v/>
      </c>
      <c r="C25">
        <f>'Class Roster'!D25</f>
        <v/>
      </c>
      <c r="H25">
        <f>IFERROR(LOOKUP(2,1/(D25:G25&lt;&gt;""),D25:G25),"")</f>
        <v/>
      </c>
      <c r="I25">
        <f>IF(AND(D25&lt;&gt;"",H25&lt;&gt;""),IF(MATCH(H25,{"D","A","M","MA"},0)&gt;MATCH(D25,{"D","A","M","MA"},0),"⬆️ Moving Up",IF(MATCH(H25,{"D","A","M","MA"},0)&lt;MATCH(D25,{"D","A","M","MA"},0),"⬇️ Moving Down","➡️ No Change")),"")</f>
        <v/>
      </c>
      <c r="J25">
        <f>IF(H25="D","🚨 Intensive Intervention",IF(H25="A","📋 Targeted Practice",IF(H25="M","💪 Push toward Masters",IF(H25="MA","⭐ Extension &amp; peer tutoring",""))))</f>
        <v/>
      </c>
    </row>
    <row r="26">
      <c r="A26">
        <f>'Class Roster'!A26</f>
        <v/>
      </c>
      <c r="B26">
        <f>'Class Roster'!B26</f>
        <v/>
      </c>
      <c r="C26">
        <f>'Class Roster'!D26</f>
        <v/>
      </c>
      <c r="H26">
        <f>IFERROR(LOOKUP(2,1/(D26:G26&lt;&gt;""),D26:G26),"")</f>
        <v/>
      </c>
      <c r="I26">
        <f>IF(AND(D26&lt;&gt;"",H26&lt;&gt;""),IF(MATCH(H26,{"D","A","M","MA"},0)&gt;MATCH(D26,{"D","A","M","MA"},0),"⬆️ Moving Up",IF(MATCH(H26,{"D","A","M","MA"},0)&lt;MATCH(D26,{"D","A","M","MA"},0),"⬇️ Moving Down","➡️ No Change")),"")</f>
        <v/>
      </c>
      <c r="J26">
        <f>IF(H26="D","🚨 Intensive Intervention",IF(H26="A","📋 Targeted Practice",IF(H26="M","💪 Push toward Masters",IF(H26="MA","⭐ Extension &amp; peer tutoring",""))))</f>
        <v/>
      </c>
    </row>
    <row r="27">
      <c r="A27">
        <f>'Class Roster'!A27</f>
        <v/>
      </c>
      <c r="B27">
        <f>'Class Roster'!B27</f>
        <v/>
      </c>
      <c r="C27">
        <f>'Class Roster'!D27</f>
        <v/>
      </c>
      <c r="H27">
        <f>IFERROR(LOOKUP(2,1/(D27:G27&lt;&gt;""),D27:G27),"")</f>
        <v/>
      </c>
      <c r="I27">
        <f>IF(AND(D27&lt;&gt;"",H27&lt;&gt;""),IF(MATCH(H27,{"D","A","M","MA"},0)&gt;MATCH(D27,{"D","A","M","MA"},0),"⬆️ Moving Up",IF(MATCH(H27,{"D","A","M","MA"},0)&lt;MATCH(D27,{"D","A","M","MA"},0),"⬇️ Moving Down","➡️ No Change")),"")</f>
        <v/>
      </c>
      <c r="J27">
        <f>IF(H27="D","🚨 Intensive Intervention",IF(H27="A","📋 Targeted Practice",IF(H27="M","💪 Push toward Masters",IF(H27="MA","⭐ Extension &amp; peer tutoring",""))))</f>
        <v/>
      </c>
    </row>
    <row r="28">
      <c r="A28">
        <f>'Class Roster'!A28</f>
        <v/>
      </c>
      <c r="B28">
        <f>'Class Roster'!B28</f>
        <v/>
      </c>
      <c r="C28">
        <f>'Class Roster'!D28</f>
        <v/>
      </c>
      <c r="H28">
        <f>IFERROR(LOOKUP(2,1/(D28:G28&lt;&gt;""),D28:G28),"")</f>
        <v/>
      </c>
      <c r="I28">
        <f>IF(AND(D28&lt;&gt;"",H28&lt;&gt;""),IF(MATCH(H28,{"D","A","M","MA"},0)&gt;MATCH(D28,{"D","A","M","MA"},0),"⬆️ Moving Up",IF(MATCH(H28,{"D","A","M","MA"},0)&lt;MATCH(D28,{"D","A","M","MA"},0),"⬇️ Moving Down","➡️ No Change")),"")</f>
        <v/>
      </c>
      <c r="J28">
        <f>IF(H28="D","🚨 Intensive Intervention",IF(H28="A","📋 Targeted Practice",IF(H28="M","💪 Push toward Masters",IF(H28="MA","⭐ Extension &amp; peer tutoring",""))))</f>
        <v/>
      </c>
    </row>
    <row r="29">
      <c r="A29">
        <f>'Class Roster'!A29</f>
        <v/>
      </c>
      <c r="B29">
        <f>'Class Roster'!B29</f>
        <v/>
      </c>
      <c r="C29">
        <f>'Class Roster'!D29</f>
        <v/>
      </c>
      <c r="H29">
        <f>IFERROR(LOOKUP(2,1/(D29:G29&lt;&gt;""),D29:G29),"")</f>
        <v/>
      </c>
      <c r="I29">
        <f>IF(AND(D29&lt;&gt;"",H29&lt;&gt;""),IF(MATCH(H29,{"D","A","M","MA"},0)&gt;MATCH(D29,{"D","A","M","MA"},0),"⬆️ Moving Up",IF(MATCH(H29,{"D","A","M","MA"},0)&lt;MATCH(D29,{"D","A","M","MA"},0),"⬇️ Moving Down","➡️ No Change")),"")</f>
        <v/>
      </c>
      <c r="J29">
        <f>IF(H29="D","🚨 Intensive Intervention",IF(H29="A","📋 Targeted Practice",IF(H29="M","💪 Push toward Masters",IF(H29="MA","⭐ Extension &amp; peer tutoring",""))))</f>
        <v/>
      </c>
    </row>
    <row r="30">
      <c r="A30">
        <f>'Class Roster'!A30</f>
        <v/>
      </c>
      <c r="B30">
        <f>'Class Roster'!B30</f>
        <v/>
      </c>
      <c r="C30">
        <f>'Class Roster'!D30</f>
        <v/>
      </c>
      <c r="H30">
        <f>IFERROR(LOOKUP(2,1/(D30:G30&lt;&gt;""),D30:G30),"")</f>
        <v/>
      </c>
      <c r="I30">
        <f>IF(AND(D30&lt;&gt;"",H30&lt;&gt;""),IF(MATCH(H30,{"D","A","M","MA"},0)&gt;MATCH(D30,{"D","A","M","MA"},0),"⬆️ Moving Up",IF(MATCH(H30,{"D","A","M","MA"},0)&lt;MATCH(D30,{"D","A","M","MA"},0),"⬇️ Moving Down","➡️ No Change")),"")</f>
        <v/>
      </c>
      <c r="J30">
        <f>IF(H30="D","🚨 Intensive Intervention",IF(H30="A","📋 Targeted Practice",IF(H30="M","💪 Push toward Masters",IF(H30="MA","⭐ Extension &amp; peer tutoring",""))))</f>
        <v/>
      </c>
    </row>
    <row r="31">
      <c r="A31">
        <f>'Class Roster'!A31</f>
        <v/>
      </c>
      <c r="B31">
        <f>'Class Roster'!B31</f>
        <v/>
      </c>
      <c r="C31">
        <f>'Class Roster'!D31</f>
        <v/>
      </c>
      <c r="H31">
        <f>IFERROR(LOOKUP(2,1/(D31:G31&lt;&gt;""),D31:G31),"")</f>
        <v/>
      </c>
      <c r="I31">
        <f>IF(AND(D31&lt;&gt;"",H31&lt;&gt;""),IF(MATCH(H31,{"D","A","M","MA"},0)&gt;MATCH(D31,{"D","A","M","MA"},0),"⬆️ Moving Up",IF(MATCH(H31,{"D","A","M","MA"},0)&lt;MATCH(D31,{"D","A","M","MA"},0),"⬇️ Moving Down","➡️ No Change")),"")</f>
        <v/>
      </c>
      <c r="J31">
        <f>IF(H31="D","🚨 Intensive Intervention",IF(H31="A","📋 Targeted Practice",IF(H31="M","💪 Push toward Masters",IF(H31="MA","⭐ Extension &amp; peer tutoring",""))))</f>
        <v/>
      </c>
    </row>
    <row r="32">
      <c r="A32">
        <f>'Class Roster'!A32</f>
        <v/>
      </c>
      <c r="B32">
        <f>'Class Roster'!B32</f>
        <v/>
      </c>
      <c r="C32">
        <f>'Class Roster'!D32</f>
        <v/>
      </c>
      <c r="H32">
        <f>IFERROR(LOOKUP(2,1/(D32:G32&lt;&gt;""),D32:G32),"")</f>
        <v/>
      </c>
      <c r="I32">
        <f>IF(AND(D32&lt;&gt;"",H32&lt;&gt;""),IF(MATCH(H32,{"D","A","M","MA"},0)&gt;MATCH(D32,{"D","A","M","MA"},0),"⬆️ Moving Up",IF(MATCH(H32,{"D","A","M","MA"},0)&lt;MATCH(D32,{"D","A","M","MA"},0),"⬇️ Moving Down","➡️ No Change")),"")</f>
        <v/>
      </c>
      <c r="J32">
        <f>IF(H32="D","🚨 Intensive Intervention",IF(H32="A","📋 Targeted Practice",IF(H32="M","💪 Push toward Masters",IF(H32="MA","⭐ Extension &amp; peer tutoring",""))))</f>
        <v/>
      </c>
    </row>
    <row r="33">
      <c r="A33">
        <f>'Class Roster'!A33</f>
        <v/>
      </c>
      <c r="B33">
        <f>'Class Roster'!B33</f>
        <v/>
      </c>
      <c r="C33">
        <f>'Class Roster'!D33</f>
        <v/>
      </c>
      <c r="H33">
        <f>IFERROR(LOOKUP(2,1/(D33:G33&lt;&gt;""),D33:G33),"")</f>
        <v/>
      </c>
      <c r="I33">
        <f>IF(AND(D33&lt;&gt;"",H33&lt;&gt;""),IF(MATCH(H33,{"D","A","M","MA"},0)&gt;MATCH(D33,{"D","A","M","MA"},0),"⬆️ Moving Up",IF(MATCH(H33,{"D","A","M","MA"},0)&lt;MATCH(D33,{"D","A","M","MA"},0),"⬇️ Moving Down","➡️ No Change")),"")</f>
        <v/>
      </c>
      <c r="J33">
        <f>IF(H33="D","🚨 Intensive Intervention",IF(H33="A","📋 Targeted Practice",IF(H33="M","💪 Push toward Masters",IF(H33="MA","⭐ Extension &amp; peer tutoring",""))))</f>
        <v/>
      </c>
    </row>
    <row r="34">
      <c r="A34">
        <f>'Class Roster'!A34</f>
        <v/>
      </c>
      <c r="B34">
        <f>'Class Roster'!B34</f>
        <v/>
      </c>
      <c r="C34">
        <f>'Class Roster'!D34</f>
        <v/>
      </c>
      <c r="H34">
        <f>IFERROR(LOOKUP(2,1/(D34:G34&lt;&gt;""),D34:G34),"")</f>
        <v/>
      </c>
      <c r="I34">
        <f>IF(AND(D34&lt;&gt;"",H34&lt;&gt;""),IF(MATCH(H34,{"D","A","M","MA"},0)&gt;MATCH(D34,{"D","A","M","MA"},0),"⬆️ Moving Up",IF(MATCH(H34,{"D","A","M","MA"},0)&lt;MATCH(D34,{"D","A","M","MA"},0),"⬇️ Moving Down","➡️ No Change")),"")</f>
        <v/>
      </c>
      <c r="J34">
        <f>IF(H34="D","🚨 Intensive Intervention",IF(H34="A","📋 Targeted Practice",IF(H34="M","💪 Push toward Masters",IF(H34="MA","⭐ Extension &amp; peer tutoring",""))))</f>
        <v/>
      </c>
    </row>
    <row r="35">
      <c r="A35">
        <f>'Class Roster'!A35</f>
        <v/>
      </c>
      <c r="B35">
        <f>'Class Roster'!B35</f>
        <v/>
      </c>
      <c r="C35">
        <f>'Class Roster'!D35</f>
        <v/>
      </c>
      <c r="H35">
        <f>IFERROR(LOOKUP(2,1/(D35:G35&lt;&gt;""),D35:G35),"")</f>
        <v/>
      </c>
      <c r="I35">
        <f>IF(AND(D35&lt;&gt;"",H35&lt;&gt;""),IF(MATCH(H35,{"D","A","M","MA"},0)&gt;MATCH(D35,{"D","A","M","MA"},0),"⬆️ Moving Up",IF(MATCH(H35,{"D","A","M","MA"},0)&lt;MATCH(D35,{"D","A","M","MA"},0),"⬇️ Moving Down","➡️ No Change")),"")</f>
        <v/>
      </c>
      <c r="J35">
        <f>IF(H35="D","🚨 Intensive Intervention",IF(H35="A","📋 Targeted Practice",IF(H35="M","💪 Push toward Masters",IF(H35="MA","⭐ Extension &amp; peer tutoring",""))))</f>
        <v/>
      </c>
    </row>
    <row r="36">
      <c r="A36">
        <f>'Class Roster'!A36</f>
        <v/>
      </c>
      <c r="B36">
        <f>'Class Roster'!B36</f>
        <v/>
      </c>
      <c r="C36">
        <f>'Class Roster'!D36</f>
        <v/>
      </c>
      <c r="H36">
        <f>IFERROR(LOOKUP(2,1/(D36:G36&lt;&gt;""),D36:G36),"")</f>
        <v/>
      </c>
      <c r="I36">
        <f>IF(AND(D36&lt;&gt;"",H36&lt;&gt;""),IF(MATCH(H36,{"D","A","M","MA"},0)&gt;MATCH(D36,{"D","A","M","MA"},0),"⬆️ Moving Up",IF(MATCH(H36,{"D","A","M","MA"},0)&lt;MATCH(D36,{"D","A","M","MA"},0),"⬇️ Moving Down","➡️ No Change")),"")</f>
        <v/>
      </c>
      <c r="J36">
        <f>IF(H36="D","🚨 Intensive Intervention",IF(H36="A","📋 Targeted Practice",IF(H36="M","💪 Push toward Masters",IF(H36="MA","⭐ Extension &amp; peer tutoring",""))))</f>
        <v/>
      </c>
    </row>
    <row r="37">
      <c r="A37">
        <f>'Class Roster'!A37</f>
        <v/>
      </c>
      <c r="B37">
        <f>'Class Roster'!B37</f>
        <v/>
      </c>
      <c r="C37">
        <f>'Class Roster'!D37</f>
        <v/>
      </c>
      <c r="H37">
        <f>IFERROR(LOOKUP(2,1/(D37:G37&lt;&gt;""),D37:G37),"")</f>
        <v/>
      </c>
      <c r="I37">
        <f>IF(AND(D37&lt;&gt;"",H37&lt;&gt;""),IF(MATCH(H37,{"D","A","M","MA"},0)&gt;MATCH(D37,{"D","A","M","MA"},0),"⬆️ Moving Up",IF(MATCH(H37,{"D","A","M","MA"},0)&lt;MATCH(D37,{"D","A","M","MA"},0),"⬇️ Moving Down","➡️ No Change")),"")</f>
        <v/>
      </c>
      <c r="J37">
        <f>IF(H37="D","🚨 Intensive Intervention",IF(H37="A","📋 Targeted Practice",IF(H37="M","💪 Push toward Masters",IF(H37="MA","⭐ Extension &amp; peer tutoring",""))))</f>
        <v/>
      </c>
    </row>
  </sheetData>
  <conditionalFormatting sqref="D3:G37">
    <cfRule type="expression" priority="1" dxfId="4">
      <formula>D3="D"</formula>
    </cfRule>
    <cfRule type="expression" priority="2" dxfId="5">
      <formula>D3="A"</formula>
    </cfRule>
    <cfRule type="expression" priority="3" dxfId="6">
      <formula>D3="M"</formula>
    </cfRule>
    <cfRule type="expression" priority="4" dxfId="7">
      <formula>D3="MA"</formula>
    </cfRule>
  </conditionalFormatting>
  <dataValidations count="1">
    <dataValidation sqref="D3:G37" showDropDown="0" showInputMessage="0" showErrorMessage="0" allowBlank="1" prompt="D=Did Not Meet, A=Approaches, M=Meets, MA=Masters" type="list">
      <formula1>"D,A,M,MA"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50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8" t="inlineStr">
        <is>
          <t>📊 CLASS DASHBOARD</t>
        </is>
      </c>
    </row>
    <row r="3">
      <c r="A3" s="9" t="inlineStr">
        <is>
          <t>CLASS OVERVIEW</t>
        </is>
      </c>
    </row>
    <row r="4">
      <c r="A4" s="10" t="inlineStr">
        <is>
          <t>Total Students:</t>
        </is>
      </c>
      <c r="B4" s="3">
        <f>COUNTA('Class Roster'!A3:A37)</f>
        <v/>
      </c>
    </row>
    <row r="5">
      <c r="A5" s="10" t="inlineStr">
        <is>
          <t>Class Pre-Test Average:</t>
        </is>
      </c>
      <c r="B5" s="3">
        <f>IFERROR(AVERAGE('Assessment Scores'!D3:D37),"")</f>
        <v/>
      </c>
    </row>
    <row r="6">
      <c r="A6" s="10" t="inlineStr">
        <is>
          <t>Class Current Average:</t>
        </is>
      </c>
      <c r="B6" s="3">
        <f>IFERROR(AVERAGE('Growth Analysis'!E3:E37),"")</f>
        <v/>
      </c>
    </row>
    <row r="7">
      <c r="A7" s="10" t="inlineStr">
        <is>
          <t>Class Average Growth (%):</t>
        </is>
      </c>
      <c r="B7" s="3">
        <f>IFERROR(AVERAGE('Growth Analysis'!G3:G37),"")</f>
        <v/>
      </c>
    </row>
    <row r="8">
      <c r="A8" s="10" t="inlineStr">
        <is>
          <t>Students Needing Intervention:</t>
        </is>
      </c>
      <c r="B8" s="3">
        <f>COUNTIF('Growth Analysis'!L3:L37,"⚠️*")</f>
        <v/>
      </c>
    </row>
    <row r="10">
      <c r="A10" s="9" t="inlineStr">
        <is>
          <t>STAAR READINESS BREAKDOWN</t>
        </is>
      </c>
    </row>
    <row r="11">
      <c r="A11" s="10" t="inlineStr">
        <is>
          <t>Did Not Meet (D):</t>
        </is>
      </c>
      <c r="B11" s="3">
        <f>COUNTIF('STAAR Readiness'!H3:H37,"D")</f>
        <v/>
      </c>
    </row>
    <row r="12">
      <c r="A12" s="10" t="inlineStr">
        <is>
          <t>Approaches (A):</t>
        </is>
      </c>
      <c r="B12" s="3">
        <f>COUNTIF('STAAR Readiness'!H3:H37,"A")</f>
        <v/>
      </c>
    </row>
    <row r="13">
      <c r="A13" s="10" t="inlineStr">
        <is>
          <t>Meets (M):</t>
        </is>
      </c>
      <c r="B13" s="3">
        <f>COUNTIF('STAAR Readiness'!H3:H37,"M")</f>
        <v/>
      </c>
    </row>
    <row r="14">
      <c r="A14" s="10" t="inlineStr">
        <is>
          <t>Masters (MA):</t>
        </is>
      </c>
      <c r="B14" s="3">
        <f>COUNTIF('STAAR Readiness'!H3:H37,"MA")</f>
        <v/>
      </c>
    </row>
    <row r="17">
      <c r="A17" s="9" t="inlineStr">
        <is>
          <t>SUBGROUP GROWTH COMPARISON</t>
        </is>
      </c>
    </row>
    <row r="18">
      <c r="A18" s="10" t="inlineStr">
        <is>
          <t>ELL Avg Growth:</t>
        </is>
      </c>
      <c r="B18" s="3">
        <f>IFERROR(AVERAGEIF('Growth Analysis'!C3:C37,"*ELL*",'Growth Analysis'!G3:G37),"")</f>
        <v/>
      </c>
    </row>
    <row r="19">
      <c r="A19" s="10" t="inlineStr">
        <is>
          <t>SpEd Avg Growth:</t>
        </is>
      </c>
      <c r="B19" s="3">
        <f>IFERROR(AVERAGEIF('Growth Analysis'!C3:C37,"*SpEd*",'Growth Analysis'!G3:G37),"")</f>
        <v/>
      </c>
    </row>
    <row r="20">
      <c r="A20" s="10" t="inlineStr">
        <is>
          <t>GT Avg Growth:</t>
        </is>
      </c>
      <c r="B20" s="3">
        <f>IFERROR(AVERAGEIF('Growth Analysis'!C3:C37,"*GT*",'Growth Analysis'!G3:G37),"")</f>
        <v/>
      </c>
    </row>
    <row r="21">
      <c r="A21" s="10" t="inlineStr">
        <is>
          <t>504 Avg Growth:</t>
        </is>
      </c>
      <c r="B21" s="3">
        <f>IFERROR(AVERAGEIF('Growth Analysis'!C3:C37,"*504*",'Growth Analysis'!G3:G37),"")</f>
        <v/>
      </c>
    </row>
    <row r="22">
      <c r="A22" s="10" t="inlineStr">
        <is>
          <t>At-Risk Avg Growth:</t>
        </is>
      </c>
      <c r="B22" s="3">
        <f>IFERROR(AVERAGEIF('Growth Analysis'!C3:C37,"*At-Risk*",'Growth Analysis'!G3:G37),"")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2026-02-20T17:20:44Z</dcterms:created>
  <dcterms:modified xsi:type="dcterms:W3CDTF">2026-02-20T17:20:44Z</dcterms:modified>
</cp:coreProperties>
</file>